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510" yWindow="555" windowWidth="27735" windowHeight="13950"/>
  </bookViews>
  <sheets>
    <sheet name="시트1" sheetId="1" r:id="rId1"/>
  </sheets>
  <calcPr calcId="145621"/>
</workbook>
</file>

<file path=xl/calcChain.xml><?xml version="1.0" encoding="utf-8"?>
<calcChain xmlns="http://schemas.openxmlformats.org/spreadsheetml/2006/main">
  <c r="E26" i="1" l="1"/>
  <c r="D21" i="1"/>
  <c r="F15" i="1"/>
  <c r="E10" i="1"/>
  <c r="D5" i="1"/>
  <c r="F20" i="1"/>
  <c r="E15" i="1"/>
  <c r="D10" i="1"/>
  <c r="F4" i="1"/>
  <c r="F19" i="1"/>
  <c r="D19" i="1"/>
  <c r="D26" i="1"/>
  <c r="D8" i="1"/>
  <c r="F25" i="1"/>
  <c r="E20" i="1"/>
  <c r="D15" i="1"/>
  <c r="F9" i="1"/>
  <c r="E4" i="1"/>
  <c r="D20" i="1"/>
  <c r="F14" i="1"/>
  <c r="E9" i="1"/>
  <c r="D4" i="1"/>
  <c r="F8" i="1"/>
  <c r="F18" i="1"/>
  <c r="E25" i="1"/>
  <c r="D25" i="1"/>
  <c r="F24" i="1"/>
  <c r="E24" i="1"/>
  <c r="F23" i="1"/>
  <c r="E18" i="1"/>
  <c r="D13" i="1"/>
  <c r="F7" i="1"/>
  <c r="E2" i="1"/>
  <c r="F16" i="1"/>
  <c r="F26" i="1"/>
  <c r="F3" i="1"/>
  <c r="E3" i="1"/>
  <c r="E8" i="1"/>
  <c r="F2" i="1"/>
  <c r="E23" i="1"/>
  <c r="D18" i="1"/>
  <c r="F12" i="1"/>
  <c r="E7" i="1"/>
  <c r="D2" i="1"/>
  <c r="E11" i="1"/>
  <c r="D11" i="1"/>
  <c r="E21" i="1"/>
  <c r="E5" i="1"/>
  <c r="E19" i="1"/>
  <c r="F13" i="1"/>
  <c r="D23" i="1"/>
  <c r="F17" i="1"/>
  <c r="E12" i="1"/>
  <c r="D7" i="1"/>
  <c r="F11" i="1"/>
  <c r="D6" i="1"/>
  <c r="F5" i="1"/>
  <c r="F10" i="1"/>
  <c r="D9" i="1"/>
  <c r="D24" i="1"/>
  <c r="F22" i="1"/>
  <c r="E17" i="1"/>
  <c r="D12" i="1"/>
  <c r="F6" i="1"/>
  <c r="D17" i="1"/>
  <c r="E6" i="1"/>
  <c r="E16" i="1"/>
  <c r="D16" i="1"/>
  <c r="E14" i="1"/>
  <c r="D14" i="1"/>
  <c r="D3" i="1"/>
  <c r="E13" i="1"/>
  <c r="E22" i="1"/>
  <c r="D22" i="1"/>
  <c r="F21" i="1"/>
</calcChain>
</file>

<file path=xl/sharedStrings.xml><?xml version="1.0" encoding="utf-8"?>
<sst xmlns="http://schemas.openxmlformats.org/spreadsheetml/2006/main" count="8" uniqueCount="8">
  <si>
    <t>구분</t>
  </si>
  <si>
    <t>도메인</t>
  </si>
  <si>
    <t>url</t>
  </si>
  <si>
    <t>헤드라인</t>
  </si>
  <si>
    <t>기사원문 URL</t>
  </si>
  <si>
    <t>기사내용</t>
  </si>
  <si>
    <t>정치</t>
  </si>
  <si>
    <t>https://www.yna.co.kr/politics/all</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</si>
</sst>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0"/>
      <color rgb="FF000000"/>
      <name val="Arial"/>
      <scheme val="minor"/>
    </font>
    <font>
      <sz val="10"/>
      <color theme="1"/>
      <name val="Arial"/>
      <scheme val="minor"/>
    </font>
    <font>
      <u/>
      <sz val="10"/>
      <color rgb="FF0000FF"/>
      <name val="Arial"/>
    </font>
    <font>
      <u/>
      <sz val="10"/>
      <color rgb="FF0000FF"/>
      <name val="Arial"/>
    </font>
    <font>
      <sz val="8"/>
      <name val="Arial"/>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Font="1" applyAlignment="1"/>
    <xf numFmtId="0" fontId="1" fillId="0" borderId="0" xfId="0" applyFont="1" applyAlignment="1"/>
    <xf numFmtId="0" fontId="2" fillId="0" borderId="0" xfId="0" applyFont="1" applyAlignment="1"/>
    <xf numFmtId="0" fontId="1" fillId="0" borderId="0" xfId="0" applyFont="1"/>
    <xf numFmtId="0" fontId="3" fillId="0" borderId="0" xfId="0" applyFont="1"/>
    <xf numFmtId="0" fontId="1" fillId="0" borderId="0" xfId="0" applyFont="1" applyAlignme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yna.co.kr/view/AKR20261012085600004?section=politics/all" TargetMode="External"/><Relationship Id="rId13" Type="http://schemas.openxmlformats.org/officeDocument/2006/relationships/hyperlink" Target="https://www.yna.co.kr/view/AKR20261012052000030?section=politics/all" TargetMode="External"/><Relationship Id="rId18" Type="http://schemas.openxmlformats.org/officeDocument/2006/relationships/hyperlink" Target="https://www.yna.co.kr/view/AKR20261012073000530?section=politics/all" TargetMode="External"/><Relationship Id="rId26" Type="http://schemas.openxmlformats.org/officeDocument/2006/relationships/printerSettings" Target="../printerSettings/printerSettings1.bin"/><Relationship Id="rId3" Type="http://schemas.openxmlformats.org/officeDocument/2006/relationships/hyperlink" Target="https://www.yna.co.kr/view/AKR20261012085100504?section=politics/all" TargetMode="External"/><Relationship Id="rId21" Type="http://schemas.openxmlformats.org/officeDocument/2006/relationships/hyperlink" Target="https://www.yna.co.kr/view/AKR20261012068400017?section=politics/all" TargetMode="External"/><Relationship Id="rId7" Type="http://schemas.openxmlformats.org/officeDocument/2006/relationships/hyperlink" Target="https://www.yna.co.kr/view/AKR20261012078251004?section=politics/all" TargetMode="External"/><Relationship Id="rId12" Type="http://schemas.openxmlformats.org/officeDocument/2006/relationships/hyperlink" Target="https://www.yna.co.kr/view/AKR20261012080500052?section=politics/all" TargetMode="External"/><Relationship Id="rId17" Type="http://schemas.openxmlformats.org/officeDocument/2006/relationships/hyperlink" Target="https://www.yna.co.kr/view/AKR20261012070900001?section=politics/all" TargetMode="External"/><Relationship Id="rId25" Type="http://schemas.openxmlformats.org/officeDocument/2006/relationships/hyperlink" Target="https://www.yna.co.kr/view/AKR20261012041151504?section=politics/all" TargetMode="External"/><Relationship Id="rId2" Type="http://schemas.openxmlformats.org/officeDocument/2006/relationships/hyperlink" Target="https://www.yna.co.kr/view/AKR20261012082900001?section=politics/all" TargetMode="External"/><Relationship Id="rId16" Type="http://schemas.openxmlformats.org/officeDocument/2006/relationships/hyperlink" Target="https://www.yna.co.kr/view/AKR20261012077700051?section=politics/all" TargetMode="External"/><Relationship Id="rId20" Type="http://schemas.openxmlformats.org/officeDocument/2006/relationships/hyperlink" Target="https://www.yna.co.kr/view/AKR20261012071600001?section=politics/all" TargetMode="External"/><Relationship Id="rId1" Type="http://schemas.openxmlformats.org/officeDocument/2006/relationships/hyperlink" Target="https://www.yna.co.kr/politics/all" TargetMode="External"/><Relationship Id="rId6" Type="http://schemas.openxmlformats.org/officeDocument/2006/relationships/hyperlink" Target="https://www.yna.co.kr/view/AKR20261012081600001?section=politics/all" TargetMode="External"/><Relationship Id="rId11" Type="http://schemas.openxmlformats.org/officeDocument/2006/relationships/hyperlink" Target="https://www.yna.co.kr/view/AKR20261012083300504?section=politics/all" TargetMode="External"/><Relationship Id="rId24" Type="http://schemas.openxmlformats.org/officeDocument/2006/relationships/hyperlink" Target="https://www.yna.co.kr/view/AKR20261012068900003?section=politics/all" TargetMode="External"/><Relationship Id="rId5" Type="http://schemas.openxmlformats.org/officeDocument/2006/relationships/hyperlink" Target="https://www.yna.co.kr/view/AKR20261012083100001?section=politics/all" TargetMode="External"/><Relationship Id="rId15" Type="http://schemas.openxmlformats.org/officeDocument/2006/relationships/hyperlink" Target="https://www.yna.co.kr/view/AKR20261012079000504?section=politics/all" TargetMode="External"/><Relationship Id="rId23" Type="http://schemas.openxmlformats.org/officeDocument/2006/relationships/hyperlink" Target="https://www.yna.co.kr/view/AKR20261012066200053?section=politics/all" TargetMode="External"/><Relationship Id="rId10" Type="http://schemas.openxmlformats.org/officeDocument/2006/relationships/hyperlink" Target="https://www.yna.co.kr/view/AKR20261012082600704?section=politics/all" TargetMode="External"/><Relationship Id="rId19" Type="http://schemas.openxmlformats.org/officeDocument/2006/relationships/hyperlink" Target="https://www.yna.co.kr/view/AKR20261012068500704?section=politics/all" TargetMode="External"/><Relationship Id="rId4" Type="http://schemas.openxmlformats.org/officeDocument/2006/relationships/hyperlink" Target="https://www.yna.co.kr/view/AKR20261012081000001?section=politics/all" TargetMode="External"/><Relationship Id="rId9" Type="http://schemas.openxmlformats.org/officeDocument/2006/relationships/hyperlink" Target="https://www.yna.co.kr/view/AKR20261012077900001?section=politics/all" TargetMode="External"/><Relationship Id="rId14" Type="http://schemas.openxmlformats.org/officeDocument/2006/relationships/hyperlink" Target="https://www.yna.co.kr/view/AKR20261012080400060?section=politics/all" TargetMode="External"/><Relationship Id="rId22" Type="http://schemas.openxmlformats.org/officeDocument/2006/relationships/hyperlink" Target="https://www.yna.co.kr/view/AKR20261012069700001?section=politics/al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26"/>
  <sheetViews>
    <sheetView tabSelected="1" workbookViewId="0"/>
  </sheetViews>
  <sheetFormatPr defaultColWidth="12.5703125" defaultRowHeight="15.75" customHeight="1" x14ac:dyDescent="0.2"/>
  <cols>
    <col min="3" max="3" width="56.28515625" customWidth="1"/>
    <col min="4" max="5" width="54.42578125" customWidth="1"/>
    <col min="6" max="6" width="25.28515625" customWidth="1"/>
    <col min="7" max="7" width="18.85546875" customWidth="1"/>
    <col min="8" max="8" width="15.5703125" customWidth="1"/>
    <col min="9" max="9" width="14.140625" customWidth="1"/>
  </cols>
  <sheetData>
    <row r="1" spans="1:6" x14ac:dyDescent="0.2">
      <c r="A1" s="1" t="s">
        <v>0</v>
      </c>
      <c r="B1" s="1" t="s">
        <v>1</v>
      </c>
      <c r="C1" s="1" t="s">
        <v>2</v>
      </c>
      <c r="D1" s="1" t="s">
        <v>3</v>
      </c>
      <c r="E1" s="1" t="s">
        <v>4</v>
      </c>
      <c r="F1" s="1" t="s">
        <v>5</v>
      </c>
    </row>
    <row r="2" spans="1:6" x14ac:dyDescent="0.2">
      <c r="A2" s="1">
        <v>1</v>
      </c>
      <c r="B2" s="1" t="s">
        <v>6</v>
      </c>
      <c r="C2" s="2" t="s">
        <v>7</v>
      </c>
      <c r="D2" s="3" t="str">
        <f ca="1">IFERROR(__xludf.DUMMYFUNCTION("importxml(C2,""//*[@id='container']/div[2]/div[2]/div[1]/section/div/ul/li/div/div/strong"")"),"국세청 ""부동산 탈세 등 국감 2회 이상 지적사항 개선 조치""")</f>
        <v>국세청 "부동산 탈세 등 국감 2회 이상 지적사항 개선 조치"</v>
      </c>
      <c r="E2" s="4" t="str">
        <f ca="1">IFERROR(__xludf.DUMMYFUNCTION("importxml(C2,""//*[@id='container']/div[2]/div[2]/div[1]/section/div/ul/li/div/div/strong/a/@href"")"),"https://www.yna.co.kr/view/AKR20261012056700002?section=politics/all")</f>
        <v>https://www.yna.co.kr/view/AKR20261012056700002?section=politics/all</v>
      </c>
      <c r="F2" s="3" t="str">
        <f ca="1">IFERROR(__xludf.DUMMYFUNCTION("TEXTJOIN("" "", TRUE, IMPORTXML(E2, ""//*[@id='articleWrap']//p""))"),"[촬영 이충원]  (세종=연합뉴스) 이대희 기자 = 국세청은 불법 탈세 행위 엄단 요구 등 최근 5년간 국회 국정감사에서 반복 지적된 사항에 관해 
실효적인 조치를 완료했다고 12일 밝혔다.  국세청은 시장 질서를 훼손하는 부동산 탈세에 엄단해 달라는 지적에 지난해부터 30억원 이상 초고가 주택거래 등을 전수 점검하고 있다고 
했다.  연소자·외국인 고가주택 취득과 관련한 자금출처도 철저히 검증하고 있다고 강조했다.  아울러 지난해 10월부터 부동산 탈"&amp;"세신고센터를 운영하고, 국토교통부로부터 자금조달계획서를 실시간 공유받는 대응체계도 구축했다고 
설명했다.  국세청은 지능적이고 악의적인 역외탈세를 근절해 달라는 지적에는 지난해 8월 이후 7개 국가와 징수공조 업무협약(MOU)을 체결하고 
은닉 재산을 환수 중이라고 밝혔다.  생계형 체납자 지원이 필요하다는 국회 지적에 지난 3월부터 납부의무 소멸제도를 시행하고 있다고 밝혔다.  같은 달 국세 체납관리단을 통해 실태 확인을 진행한 결과 7월까지 생계형 "&amp;"체납자 4천992명의 체납액 817억원에 관한 체납의무를 
소멸시켰다고 전했다.  질병이나 사고로 생활이 어려운 체납자 1천667명에게는 지방자치단체 복지서비스를 연계하는 등 맞춤형 지원을 제공하고 있다고 덧붙였다.  국세청은 ""국회의 지적이 실질적인 개선과 성과로 이어지도록 지속 노력하겠다""며 ""다가오는 올해 국정감사에서 제기되는 사항에 대해서도 
겸허히 경청하고 적극적으로 개선방안을 모색해 나갈 계획""이라고 밝혔다.  2vs2@yna.co.k"&amp;"r 제보는 카카오톡 okjebo &lt;저작권자(c) 연합뉴스, 무단 전재-재배포, AI 학습 및 활용 금지&gt; 2026/10/12 12:00 송고2026년10월12일 12시00분 송고")</f>
        <v>[촬영 이충원]  (세종=연합뉴스) 이대희 기자 = 국세청은 불법 탈세 행위 엄단 요구 등 최근 5년간 국회 국정감사에서 반복 지적된 사항에 관해 
실효적인 조치를 완료했다고 12일 밝혔다.  국세청은 시장 질서를 훼손하는 부동산 탈세에 엄단해 달라는 지적에 지난해부터 30억원 이상 초고가 주택거래 등을 전수 점검하고 있다고 
했다.  연소자·외국인 고가주택 취득과 관련한 자금출처도 철저히 검증하고 있다고 강조했다.  아울러 지난해 10월부터 부동산 탈세신고센터를 운영하고, 국토교통부로부터 자금조달계획서를 실시간 공유받는 대응체계도 구축했다고 
설명했다.  국세청은 지능적이고 악의적인 역외탈세를 근절해 달라는 지적에는 지난해 8월 이후 7개 국가와 징수공조 업무협약(MOU)을 체결하고 
은닉 재산을 환수 중이라고 밝혔다.  생계형 체납자 지원이 필요하다는 국회 지적에 지난 3월부터 납부의무 소멸제도를 시행하고 있다고 밝혔다.  같은 달 국세 체납관리단을 통해 실태 확인을 진행한 결과 7월까지 생계형 체납자 4천992명의 체납액 817억원에 관한 체납의무를 
소멸시켰다고 전했다.  질병이나 사고로 생활이 어려운 체납자 1천667명에게는 지방자치단체 복지서비스를 연계하는 등 맞춤형 지원을 제공하고 있다고 덧붙였다.  국세청은 "국회의 지적이 실질적인 개선과 성과로 이어지도록 지속 노력하겠다"며 "다가오는 올해 국정감사에서 제기되는 사항에 대해서도 
겸허히 경청하고 적극적으로 개선방안을 모색해 나갈 계획"이라고 밝혔다.  2vs2@yna.co.kr 제보는 카카오톡 okjebo &lt;저작권자(c) 연합뉴스, 무단 전재-재배포, AI 학습 및 활용 금지&gt; 2026/10/12 12:00 송고2026년10월12일 12시00분 송고</v>
      </c>
    </row>
    <row r="3" spans="1:6" x14ac:dyDescent="0.2">
      <c r="C3" s="5"/>
      <c r="D3" s="3" t="str">
        <f ca="1">IFERROR(__xludf.DUMMYFUNCTION("""COMPUTED_VALUE"""),"감사원장, 野 '현 정부임명 감사위원 독립성' 지적에 ""역량충분""")</f>
        <v>감사원장, 野 '현 정부임명 감사위원 독립성' 지적에 "역량충분"</v>
      </c>
      <c r="E3" s="4" t="str">
        <f ca="1">IFERROR(__xludf.DUMMYFUNCTION("""COMPUTED_VALUE"""),"https://www.yna.co.kr/view/AKR20261012082900001?section=politics/all")</f>
        <v>https://www.yna.co.kr/view/AKR20261012082900001?section=politics/all</v>
      </c>
      <c r="F3" s="3" t="str">
        <f ca="1">IFERROR(__xludf.DUMMYFUNCTION("TEXTJOIN("" "", TRUE, IMPORTXML(E3, ""//*[@id='articleWrap']//p""))"),"(서울=연합뉴스) 류영석 기자 = 김호철 감사원장이 12일 서울 종로구 감사원에서 열린 국회 법제사법위원회 국정감사에서 업무보고를 하고 
있다. 2026.10.12 ondol@yna.co.kr  (서울=연합뉴스) 이상현 기자 = 김호철 감사원장은 12일 현 정부에서 임명된 일부 감사위원에 대한 독립성 관련 지적에 대해 ""역량이 
충분하다고 판단한다""고 말했다.  김 원장은 이날 서울 종로구 감사원에서 열린 법제사법위원회 국정감사에서 국민의힘 윤상현 "&amp;"의원이 '임선숙 감사위원은 이재명 대통령의 
당대표 시절 최고위원을, 이진국 감사위원은 청와대 사법제도비서관을 했다'고 지적하자 이같이 답했다.   김 원장은 ""(해당 인사들은) 감사위원 임명과 관련된 법에서의 결격 사유가 전혀 없다""며 ""전문성과 역량, 이전 감사위원 임명 선례를 
종합적으로 검토해 이분들의 역량은 충분하다고 판단(했다)""고 설명했다.   이어 ""(임명에) 대통령실 압력이 없었다는 것을 분명히 말씀드린다""며 ""그동안 두 분"&amp;" 감사위원의 활동, 그리고 감사위원회가 
(업무에서) 직무상의 독립성과 중립성을 그르치는 일은 전혀 없었다""고 강조했다.   그는 다만 ""독립성을 철저히 해야 한다는 점을 유념해 저희가 운영에서나 차기 감사위원 임명에 있어서나 잘 살피도록 하겠다""고 덧붙였다.  김 원장은 이날 업무보고에선 ""회계검사와 직무감찰의 소임을 충실히 수행하기 위해 감사 운영 전반의 패러다임을 감사의 최종 소비자인 
국민의 편익 증진으로 전환하고 모든 감사를 국민 중심으"&amp;"로 바꿔 나가고 있다""고 말했다.   이어 ""그간 표적·강압·감사 논란이 있었던 감사 사항을 점검해 특별조사국 폐지, 내부통제 강화 등 제도 개선을 추진하는 한편, 
관련자에 대한 엄중한 책임을 묻는 절차를 진행 중에 있다""고 덧붙였다.  그러면서 ""감사원은 2025년 이후 국회가 요구한 32건의 국회 감사요구 사항 중 25건에 대해 감사 결과를 국회에 보고했고, 나머지 
7건에 대해선 신속하게 처리해 보고할 예정""이라고 설명했다.  hapyr"&amp;"y@yna.co.kr 제보는 카카오톡 okjebo &lt;저작권자(c) 연합뉴스, 무단 전재-재배포, AI 학습 및 활용 금지&gt; 2026/10/12 11:57 송고2026년10월12일 11시57분 송고")</f>
        <v>(서울=연합뉴스) 류영석 기자 = 김호철 감사원장이 12일 서울 종로구 감사원에서 열린 국회 법제사법위원회 국정감사에서 업무보고를 하고 
있다. 2026.10.12 ondol@yna.co.kr  (서울=연합뉴스) 이상현 기자 = 김호철 감사원장은 12일 현 정부에서 임명된 일부 감사위원에 대한 독립성 관련 지적에 대해 "역량이 
충분하다고 판단한다"고 말했다.  김 원장은 이날 서울 종로구 감사원에서 열린 법제사법위원회 국정감사에서 국민의힘 윤상현 의원이 '임선숙 감사위원은 이재명 대통령의 
당대표 시절 최고위원을, 이진국 감사위원은 청와대 사법제도비서관을 했다'고 지적하자 이같이 답했다.   김 원장은 "(해당 인사들은) 감사위원 임명과 관련된 법에서의 결격 사유가 전혀 없다"며 "전문성과 역량, 이전 감사위원 임명 선례를 
종합적으로 검토해 이분들의 역량은 충분하다고 판단(했다)"고 설명했다.   이어 "(임명에) 대통령실 압력이 없었다는 것을 분명히 말씀드린다"며 "그동안 두 분 감사위원의 활동, 그리고 감사위원회가 
(업무에서) 직무상의 독립성과 중립성을 그르치는 일은 전혀 없었다"고 강조했다.   그는 다만 "독립성을 철저히 해야 한다는 점을 유념해 저희가 운영에서나 차기 감사위원 임명에 있어서나 잘 살피도록 하겠다"고 덧붙였다.  김 원장은 이날 업무보고에선 "회계검사와 직무감찰의 소임을 충실히 수행하기 위해 감사 운영 전반의 패러다임을 감사의 최종 소비자인 
국민의 편익 증진으로 전환하고 모든 감사를 국민 중심으로 바꿔 나가고 있다"고 말했다.   이어 "그간 표적·강압·감사 논란이 있었던 감사 사항을 점검해 특별조사국 폐지, 내부통제 강화 등 제도 개선을 추진하는 한편, 
관련자에 대한 엄중한 책임을 묻는 절차를 진행 중에 있다"고 덧붙였다.  그러면서 "감사원은 2025년 이후 국회가 요구한 32건의 국회 감사요구 사항 중 25건에 대해 감사 결과를 국회에 보고했고, 나머지 
7건에 대해선 신속하게 처리해 보고할 예정"이라고 설명했다.  hapyry@yna.co.kr 제보는 카카오톡 okjebo &lt;저작권자(c) 연합뉴스, 무단 전재-재배포, AI 학습 및 활용 금지&gt; 2026/10/12 11:57 송고2026년10월12일 11시57분 송고</v>
      </c>
    </row>
    <row r="4" spans="1:6" x14ac:dyDescent="0.2">
      <c r="D4" s="3" t="str">
        <f ca="1">IFERROR(__xludf.DUMMYFUNCTION("""COMPUTED_VALUE"""),"정동영 ""한미동맹 이상 없다…이해관계는 상충할 때도 있다""")</f>
        <v>정동영 "한미동맹 이상 없다…이해관계는 상충할 때도 있다"</v>
      </c>
      <c r="E4" s="4" t="str">
        <f ca="1">IFERROR(__xludf.DUMMYFUNCTION("""COMPUTED_VALUE"""),"https://www.yna.co.kr/view/AKR20261012085100504?section=politics/all")</f>
        <v>https://www.yna.co.kr/view/AKR20261012085100504?section=politics/all</v>
      </c>
      <c r="F4" s="3" t="str">
        <f ca="1">IFERROR(__xludf.DUMMYFUNCTION("TEXTJOIN("" "", TRUE, IMPORTXML(E4, ""//*[@id='articleWrap']//p""))"),"(서울=연합뉴스) 안정원 기자 = 정동영 통일부 장관이 12일 서울 종로구 정부서울청사로 출근하고 있다. 2026.10.12 
jeong@yna.co.kr  (서울=연합뉴스) 하채림 기자 = 정동영 통일부 장관은 12일 ""동맹은 가치를 공유하지만, 이해관계는 상충할 때도 있다""고 말했다.   정 장관은 이날 정부서울청사에서 열린 언론간담회에서 ""한미동맹은 이상이 없다""고 일축하며 이같이 밝혔다.   그는 ""미국과 동맹관계에 있는 나라 중에 지금"&amp;" 안보·통상 관계로 미국과 줄다리기를 하지 않는 나라가 없다""며 ""동맹들도 다 자신의 
국익과 자율성을 위해 줄다리기를 하고 있고 우리도 마찬가지""라고 평가했다.   이어 ""미국이 요구하는 것을 백퍼센트 수용할 수 없다""며 ""우리의 국익이, 자율성이 뭔지 (스스로) 물어야 한다""고 강조했다.   정 장관은 지난달 한미 정상회담에 대해 ""30년 후 기록물이 공개되면 알 수 있겠지만 역대 정상회담 중에 대한민국의 국익과 자율성 
측면에서 이정"&amp;"표가 될 만한 회담이었다""며 ""그 회담에서도 보면, 야당이 주장하는 '동맹이 흔들리고 훼손되고 있다'는 건 전혀 사실이 
아니다""고 했다.   그는 미국의 불신을 이유로 자신과 이종석 국가정보원장의 경질을 야권에서 제기하는 것에 대해서는 ""색깔론""으로 규정하면서, 
""2026년에 경질해야 할 것은 색깔론이며, 편향된 동맹관""이라고 역공했다.   미국이 자신의 '구성 핵시설' 언급을 이유로 북한 핵시설 관련 정보공유를 제한한 것을 두고는 """&amp;"오해""이자 ""미국이 틀렸다""고 
지적했다.   정 장관은 ""구성 핵시설 발언의 원조는 작년 7월 인사청문회""라며, 통일부 장관이 미국의 공유 정보를 누설했다는 주장은 사실과 
다르다고 거듭 해명했다. 정 장관의 구성 핵시설 언급은 인사청문회 영상·속기록에서 확인된다.   또, 미국이 올해 3월 외교통일위원회의 정 장관의 구성 언급을 정보 누설로 문제 삼자 정 장관은 이러한 경위를 미국 당국자와 주미 
한국대사에게도 설명했다고 이날 공개했다.  "&amp;" 정 장관은 이날 간담회에서도 비무장지대(DMZ) 지뢰 폭발을 ""사고"" 부르고, ""불행한 일""로 표현했다.   2015년 목함지뢰 사건은 북한이 군사분계선(MDL)에서 440m나 내려와 우리 장병들이 다니는 길목에 설치해 '지뢰 공격'이지만 
지난달 21일 지뢰 폭발은 ""지뢰 공격이라고 특정하기 어렵다""는 지난 7일 국감 때 입장을 고수했다.  정 장관이 북한에 '저자세'로 일관하면서 북한의 발뺌·왜곡에 이용당하고 있다는 야권의 지적에는 """&amp;"저자세도 고자세도 아닌 '정자세', 
정동영의 자세""라고 반박했다.  tree@yna.co.kr 제보는 카카오톡 okjebo &lt;저작권자(c) 연합뉴스, 무단 전재-재배포, AI 학습 및 활용 금지&gt; 2026/10/12 11:56 송고2026년10월12일 11시56분 송고")</f>
        <v>(서울=연합뉴스) 안정원 기자 = 정동영 통일부 장관이 12일 서울 종로구 정부서울청사로 출근하고 있다. 2026.10.12 
jeong@yna.co.kr  (서울=연합뉴스) 하채림 기자 = 정동영 통일부 장관은 12일 "동맹은 가치를 공유하지만, 이해관계는 상충할 때도 있다"고 말했다.   정 장관은 이날 정부서울청사에서 열린 언론간담회에서 "한미동맹은 이상이 없다"고 일축하며 이같이 밝혔다.   그는 "미국과 동맹관계에 있는 나라 중에 지금 안보·통상 관계로 미국과 줄다리기를 하지 않는 나라가 없다"며 "동맹들도 다 자신의 
국익과 자율성을 위해 줄다리기를 하고 있고 우리도 마찬가지"라고 평가했다.   이어 "미국이 요구하는 것을 백퍼센트 수용할 수 없다"며 "우리의 국익이, 자율성이 뭔지 (스스로) 물어야 한다"고 강조했다.   정 장관은 지난달 한미 정상회담에 대해 "30년 후 기록물이 공개되면 알 수 있겠지만 역대 정상회담 중에 대한민국의 국익과 자율성 
측면에서 이정표가 될 만한 회담이었다"며 "그 회담에서도 보면, 야당이 주장하는 '동맹이 흔들리고 훼손되고 있다'는 건 전혀 사실이 
아니다"고 했다.   그는 미국의 불신을 이유로 자신과 이종석 국가정보원장의 경질을 야권에서 제기하는 것에 대해서는 "색깔론"으로 규정하면서, 
"2026년에 경질해야 할 것은 색깔론이며, 편향된 동맹관"이라고 역공했다.   미국이 자신의 '구성 핵시설' 언급을 이유로 북한 핵시설 관련 정보공유를 제한한 것을 두고는 "오해"이자 "미국이 틀렸다"고 
지적했다.   정 장관은 "구성 핵시설 발언의 원조는 작년 7월 인사청문회"라며, 통일부 장관이 미국의 공유 정보를 누설했다는 주장은 사실과 
다르다고 거듭 해명했다. 정 장관의 구성 핵시설 언급은 인사청문회 영상·속기록에서 확인된다.   또, 미국이 올해 3월 외교통일위원회의 정 장관의 구성 언급을 정보 누설로 문제 삼자 정 장관은 이러한 경위를 미국 당국자와 주미 
한국대사에게도 설명했다고 이날 공개했다.   정 장관은 이날 간담회에서도 비무장지대(DMZ) 지뢰 폭발을 "사고" 부르고, "불행한 일"로 표현했다.   2015년 목함지뢰 사건은 북한이 군사분계선(MDL)에서 440m나 내려와 우리 장병들이 다니는 길목에 설치해 '지뢰 공격'이지만 
지난달 21일 지뢰 폭발은 "지뢰 공격이라고 특정하기 어렵다"는 지난 7일 국감 때 입장을 고수했다.  정 장관이 북한에 '저자세'로 일관하면서 북한의 발뺌·왜곡에 이용당하고 있다는 야권의 지적에는 "저자세도 고자세도 아닌 '정자세', 
정동영의 자세"라고 반박했다.  tree@yna.co.kr 제보는 카카오톡 okjebo &lt;저작권자(c) 연합뉴스, 무단 전재-재배포, AI 학습 및 활용 금지&gt; 2026/10/12 11:56 송고2026년10월12일 11시56분 송고</v>
      </c>
    </row>
    <row r="5" spans="1:6" x14ac:dyDescent="0.2">
      <c r="D5" s="3" t="str">
        <f ca="1">IFERROR(__xludf.DUMMYFUNCTION("""COMPUTED_VALUE"""),"野조경태 ""한동훈 盧 언급 옳지 않아…김태규 표현 금도 넘어""")</f>
        <v>野조경태 "한동훈 盧 언급 옳지 않아…김태규 표현 금도 넘어"</v>
      </c>
      <c r="E5" s="4" t="str">
        <f ca="1">IFERROR(__xludf.DUMMYFUNCTION("""COMPUTED_VALUE"""),"https://www.yna.co.kr/view/AKR20261012081000001?section=politics/all")</f>
        <v>https://www.yna.co.kr/view/AKR20261012081000001?section=politics/all</v>
      </c>
      <c r="F5" s="3" t="str">
        <f ca="1">IFERROR(__xludf.DUMMYFUNCTION("TEXTJOIN("" "", TRUE, IMPORTXML(E5, ""//*[@id='articleWrap']//p""))"),"(서울=연합뉴스) 국민의힘 조경태 의원이 9일 경남 김해시 봉하마을 노무현 전 대통령 묘역을 참배하고 있다. 2026.10.9 [조경태 
의원실 제공. 재판매 및 DB 금지] photo@yna.co.kr  (서울=연합뉴스) 박수윤 기자 = 국민의힘 조경태 의원은 12일 무소속 한동훈 의원이 고(故) 노무현 전 대통령의 금품수수 의혹 
사건을 재소환한 것을 두고 ""넘어서서는 안 되는 영역까지 건드리는 것이 과연 옳으냐 하는 부분에 대해 저는 옳지 않다고"&amp;" 본다""고 말했다.  6선 조 의원은 이날 MBC라디오에 출연해 '한 의원이 노 전 대통령과 그의 가족이 명품시계와 수십억의 돈을 받았다고 주장하는 것을 
어떻게 평가하느냐'는 질문에 ""인간적인 영역까지 건드는 것은 참정치인의 모습은 아니지 않을까""라며 이같이 답했다.  그는 자당 김태규 의원이 국회 법제사법위원회 국정감사에서 범여권 의원들과 공방을 벌이다 ""(영화) '부엉이바위의 진실'을 하나 
만듭시다""라고 한 것을 두고도 적절치 않았다고 "&amp;"지적했다.  조 의원은 최근 경남 김해 봉하마을의 노 전 대통령 묘역을 참배한 결정에 김 의원의 발언이 영향을 미쳤냐는 물음에 ""그분(김태규 
의원) 개인을 탓하려고 하는 건 아니다""라면서도 ""그러한 표현들이 매우 금도를 넘었지 않았나 판단한다""고 언급했다.  이어 ""망자가 했던 정책은 비판할 수 있다. 죽음에 대해서까지 조롱하거나 심하게 표현하는 것은 정치인의 도리도 아니고 인간의 도리가 
아니다""라고 덧붙였다.  노무현 정부 때 더불어민주"&amp;"당 전신인 열린우리당 소속으로 당선돼 민주당에서 활동하다 국민의힘으로 당적을 변경한 조 의원은 추후 
민주당으로 복당할 가능성을 묻자 선을 그었다.  그는 지난 8월 야당 몫 국회부의장 선출 과정에서 민주당에 자당 소속 박덕흠 국회부의장 후보를 낙선시켜야 한다고 종용했다는 이유로 당 
윤리위로부터 당원권 정지 2년 6개월 중징계를 받아 현재로서는 국민의힘 소속으로 2028년 총선에 출마할 수 없는 상태다.  조 의원은 ""지금 민주당의 모습을 보면 그렇"&amp;"게 매력적인 정당의 모습은 아니다. 민주당은 10배 100배 자성해야 한다""면서 ""민주당 
구성원들은 왜 정권을 잡았는지 돌이켜보면 좋겠다""고 말했다.  조 의원은 '통합'을 화두로 조만간 박정희 전 대통령 묘소도 찾을 계획으로 전해졌다.  clap@yna.co.kr 제보는 카카오톡 okjebo &lt;저작권자(c) 연합뉴스, 무단 전재-재배포, AI 학습 및 활용 금지&gt; 2026/10/12 11:49 송고2026년10월12일 11시49분 송고")</f>
        <v>(서울=연합뉴스) 국민의힘 조경태 의원이 9일 경남 김해시 봉하마을 노무현 전 대통령 묘역을 참배하고 있다. 2026.10.9 [조경태 
의원실 제공. 재판매 및 DB 금지] photo@yna.co.kr  (서울=연합뉴스) 박수윤 기자 = 국민의힘 조경태 의원은 12일 무소속 한동훈 의원이 고(故) 노무현 전 대통령의 금품수수 의혹 
사건을 재소환한 것을 두고 "넘어서서는 안 되는 영역까지 건드리는 것이 과연 옳으냐 하는 부분에 대해 저는 옳지 않다고 본다"고 말했다.  6선 조 의원은 이날 MBC라디오에 출연해 '한 의원이 노 전 대통령과 그의 가족이 명품시계와 수십억의 돈을 받았다고 주장하는 것을 
어떻게 평가하느냐'는 질문에 "인간적인 영역까지 건드는 것은 참정치인의 모습은 아니지 않을까"라며 이같이 답했다.  그는 자당 김태규 의원이 국회 법제사법위원회 국정감사에서 범여권 의원들과 공방을 벌이다 "(영화) '부엉이바위의 진실'을 하나 
만듭시다"라고 한 것을 두고도 적절치 않았다고 지적했다.  조 의원은 최근 경남 김해 봉하마을의 노 전 대통령 묘역을 참배한 결정에 김 의원의 발언이 영향을 미쳤냐는 물음에 "그분(김태규 
의원) 개인을 탓하려고 하는 건 아니다"라면서도 "그러한 표현들이 매우 금도를 넘었지 않았나 판단한다"고 언급했다.  이어 "망자가 했던 정책은 비판할 수 있다. 죽음에 대해서까지 조롱하거나 심하게 표현하는 것은 정치인의 도리도 아니고 인간의 도리가 
아니다"라고 덧붙였다.  노무현 정부 때 더불어민주당 전신인 열린우리당 소속으로 당선돼 민주당에서 활동하다 국민의힘으로 당적을 변경한 조 의원은 추후 
민주당으로 복당할 가능성을 묻자 선을 그었다.  그는 지난 8월 야당 몫 국회부의장 선출 과정에서 민주당에 자당 소속 박덕흠 국회부의장 후보를 낙선시켜야 한다고 종용했다는 이유로 당 
윤리위로부터 당원권 정지 2년 6개월 중징계를 받아 현재로서는 국민의힘 소속으로 2028년 총선에 출마할 수 없는 상태다.  조 의원은 "지금 민주당의 모습을 보면 그렇게 매력적인 정당의 모습은 아니다. 민주당은 10배 100배 자성해야 한다"면서 "민주당 
구성원들은 왜 정권을 잡았는지 돌이켜보면 좋겠다"고 말했다.  조 의원은 '통합'을 화두로 조만간 박정희 전 대통령 묘소도 찾을 계획으로 전해졌다.  clap@yna.co.kr 제보는 카카오톡 okjebo &lt;저작권자(c) 연합뉴스, 무단 전재-재배포, AI 학습 및 활용 금지&gt; 2026/10/12 11:49 송고2026년10월12일 11시49분 송고</v>
      </c>
    </row>
    <row r="6" spans="1:6" x14ac:dyDescent="0.2">
      <c r="D6" s="3" t="str">
        <f ca="1">IFERROR(__xludf.DUMMYFUNCTION("""COMPUTED_VALUE"""),"산자위, 최태원 광주 방문 공방…""崔 국감 불러야""·""기업 협박""")</f>
        <v>산자위, 최태원 광주 방문 공방…"崔 국감 불러야"·"기업 협박"</v>
      </c>
      <c r="E6" s="4" t="str">
        <f ca="1">IFERROR(__xludf.DUMMYFUNCTION("""COMPUTED_VALUE"""),"https://www.yna.co.kr/view/AKR20261012083100001?section=politics/all")</f>
        <v>https://www.yna.co.kr/view/AKR20261012083100001?section=politics/all</v>
      </c>
      <c r="F6" s="3" t="str">
        <f ca="1">IFERROR(__xludf.DUMMYFUNCTION("TEXTJOIN("" "", TRUE, IMPORTXML(E6, ""//*[@id='articleWrap']//p""))"),"최태원 SK그룹 회장이 10월 9일 오후 호남 반도체 클러스터가 들어설 전남광주 서구 군공항 부지에서 취재진의 질문에 답변하고 있다. 
[연합뉴스 자료사진]  (서울=연합뉴스) 조다운 기자 = 여야는 12일 국회 산업통상자원중소벤처기업위원회의 대한무역투자진흥공사(코트라)·한국전력공사 등에 
대한 국정감사에서 최태원 SK그룹 회장의 호남 반도체 클러스터 부지 방문을 두고 공방을 벌였다.  야당인 국민의힘이 이번 방문을 이재명 정부의 '기업 압박'으로 규정"&amp;"하고 최 회장을 국감 증인으로 채택하자고 재차 주장하자, 여당인 
더불어민주당은 ""기업가를 협박하느냐""고 맞섰다.  국민의힘 구자근 의원은 의사진행발언에서 민형배 전남광주통합특별시장이 지난달 30일 광주경제포럼에서 SK하이닉스를 겨냥해 한 발언을 
거론하며 ""최 회장이 '앗 뜨거워' 하고 현장을 방문했다. 정부와 여당은 계속해서 기업 팔목을 비튼 적 없다고 하지만, 배후에 이재명 
대통령이 있다고 시인한 것이나 다름없다""고 말했다.  앞서 민 시"&amp;"장은 지난달 30일 해당 포럼에서 ""SK가 모 의원실에 혹시 (호남 반도체 사업에서) 발을 뺄 수 있나, 속도를 늦출 수 
있나 하는 소리를 하고 다닌다고 들었다""며 ""이재명 대통령 약 올리는 일이고, 진짜로 모욕당하는 것은 통합특별시민""이라고 발언한 것으로 
전해졌다.  구 의원은 ""국감이 한창인데 국민 앞에 나오는 것은 절대 안 된다는 최 회장이 민 시장 한마디에 달려간 것은 국회와 국민을 약 올리는 
행태 아닌가""라며 ""세상 이치가 오"&amp;"르막이 있으면 내리막이 있다. 최 회장님, 어느 구름에 해가 있을지 비가 있을지 아무도 모르는 
거다""라고 국감 출석을 압박했다.  그러자 전남광주를 지역구로 둔 민주당 정진욱 의원은 ""전형적인 협박이다. 정권이 바뀔 수 있으니까 잘하라는 것 아니냐""며 ""국회가 
기업을 협박하느냐""고 목소리를 높였다.  그는 ""우리 호남에는 한 번도 제대로 된 투자가 없어서 우리 시민들은 반도체 투자가 대규모로 가능할 것인지 의구심이 있다. 최 회장 
방문은"&amp;" 그 의구심을 없앤 데 의의가 있다""며 ""기업가가 현장에 가서 일하는 걸 일일이 국회가 언급하면 기업이 세계를 바라보지 못하고 
국회만 바라보게 된다""고 반박했다. (서울=연합뉴스) 황광모 기자 = 강경성 대한무역투자진흥공사(코트라)사장(왼쪽 아래)이 12일 국회에서 열린 
산업통상자원중소벤처기업위원회 국정감사에서 출석 기관장을 대표해 증인 선서를 하고 있다. 2026.10.12 
hkmpooh@yna.co.kr  여야는 주질의에서도 해외 원전 수"&amp;"주, 지난 정부 인사 문제 등을 두고 공방을 벌였다.  국민의힘 박성민 의원은 한국형 원전인 'APR1400' 1기를 지을 때마다 최대 20억달러의 보상 패키지를 지급하는 방향의 대미투자 
협상을 두고 ""민주당은 체코 두코바니 원전 계약할 때 '매국 계약'이라고 난리가 났는데, 이거야말로 매국 계약 아닌가. 전형적인 
내로남불""이라 꼬집었다.  민주당 권향엽 의원은 강경성 코트라 사장이 윤석열 정부 윤석열 정부 산업통상자원부 2차관 시절 한전 KDN"&amp;"의 YTN 지분 매각에 
관여했다는 감사원 감사 결과 등을 거론하며 ""청렴 CEO라고 말할 수 있겠나. 정부가 바뀌어서 감사 결과가 그렇게 나왔겠나. 수사를 잘 
받으시라""고 비판했다.  allluck@yna.co.kr 제보는 카카오톡 okjebo &lt;저작권자(c) 연합뉴스, 무단 전재-재배포, AI 학습 및 활용 금지&gt; 2026/10/12 11:49 송고2026년10월12일 11시49분 송고")</f>
        <v>최태원 SK그룹 회장이 10월 9일 오후 호남 반도체 클러스터가 들어설 전남광주 서구 군공항 부지에서 취재진의 질문에 답변하고 있다. 
[연합뉴스 자료사진]  (서울=연합뉴스) 조다운 기자 = 여야는 12일 국회 산업통상자원중소벤처기업위원회의 대한무역투자진흥공사(코트라)·한국전력공사 등에 
대한 국정감사에서 최태원 SK그룹 회장의 호남 반도체 클러스터 부지 방문을 두고 공방을 벌였다.  야당인 국민의힘이 이번 방문을 이재명 정부의 '기업 압박'으로 규정하고 최 회장을 국감 증인으로 채택하자고 재차 주장하자, 여당인 
더불어민주당은 "기업가를 협박하느냐"고 맞섰다.  국민의힘 구자근 의원은 의사진행발언에서 민형배 전남광주통합특별시장이 지난달 30일 광주경제포럼에서 SK하이닉스를 겨냥해 한 발언을 
거론하며 "최 회장이 '앗 뜨거워' 하고 현장을 방문했다. 정부와 여당은 계속해서 기업 팔목을 비튼 적 없다고 하지만, 배후에 이재명 
대통령이 있다고 시인한 것이나 다름없다"고 말했다.  앞서 민 시장은 지난달 30일 해당 포럼에서 "SK가 모 의원실에 혹시 (호남 반도체 사업에서) 발을 뺄 수 있나, 속도를 늦출 수 
있나 하는 소리를 하고 다닌다고 들었다"며 "이재명 대통령 약 올리는 일이고, 진짜로 모욕당하는 것은 통합특별시민"이라고 발언한 것으로 
전해졌다.  구 의원은 "국감이 한창인데 국민 앞에 나오는 것은 절대 안 된다는 최 회장이 민 시장 한마디에 달려간 것은 국회와 국민을 약 올리는 
행태 아닌가"라며 "세상 이치가 오르막이 있으면 내리막이 있다. 최 회장님, 어느 구름에 해가 있을지 비가 있을지 아무도 모르는 
거다"라고 국감 출석을 압박했다.  그러자 전남광주를 지역구로 둔 민주당 정진욱 의원은 "전형적인 협박이다. 정권이 바뀔 수 있으니까 잘하라는 것 아니냐"며 "국회가 
기업을 협박하느냐"고 목소리를 높였다.  그는 "우리 호남에는 한 번도 제대로 된 투자가 없어서 우리 시민들은 반도체 투자가 대규모로 가능할 것인지 의구심이 있다. 최 회장 
방문은 그 의구심을 없앤 데 의의가 있다"며 "기업가가 현장에 가서 일하는 걸 일일이 국회가 언급하면 기업이 세계를 바라보지 못하고 
국회만 바라보게 된다"고 반박했다. (서울=연합뉴스) 황광모 기자 = 강경성 대한무역투자진흥공사(코트라)사장(왼쪽 아래)이 12일 국회에서 열린 
산업통상자원중소벤처기업위원회 국정감사에서 출석 기관장을 대표해 증인 선서를 하고 있다. 2026.10.12 
hkmpooh@yna.co.kr  여야는 주질의에서도 해외 원전 수주, 지난 정부 인사 문제 등을 두고 공방을 벌였다.  국민의힘 박성민 의원은 한국형 원전인 'APR1400' 1기를 지을 때마다 최대 20억달러의 보상 패키지를 지급하는 방향의 대미투자 
협상을 두고 "민주당은 체코 두코바니 원전 계약할 때 '매국 계약'이라고 난리가 났는데, 이거야말로 매국 계약 아닌가. 전형적인 
내로남불"이라 꼬집었다.  민주당 권향엽 의원은 강경성 코트라 사장이 윤석열 정부 윤석열 정부 산업통상자원부 2차관 시절 한전 KDN의 YTN 지분 매각에 
관여했다는 감사원 감사 결과 등을 거론하며 "청렴 CEO라고 말할 수 있겠나. 정부가 바뀌어서 감사 결과가 그렇게 나왔겠나. 수사를 잘 
받으시라"고 비판했다.  allluck@yna.co.kr 제보는 카카오톡 okjebo &lt;저작권자(c) 연합뉴스, 무단 전재-재배포, AI 학습 및 활용 금지&gt; 2026/10/12 11:49 송고2026년10월12일 11시49분 송고</v>
      </c>
    </row>
    <row r="7" spans="1:6" x14ac:dyDescent="0.2">
      <c r="D7" s="3" t="str">
        <f ca="1">IFERROR(__xludf.DUMMYFUNCTION("""COMPUTED_VALUE"""),"""이진숙 파묘 패륜정치"" vs ""한준호 외압의혹""…과방위 여야 공방")</f>
        <v>"이진숙 파묘 패륜정치" vs "한준호 외압의혹"…과방위 여야 공방</v>
      </c>
      <c r="E7" s="4" t="str">
        <f ca="1">IFERROR(__xludf.DUMMYFUNCTION("""COMPUTED_VALUE"""),"https://www.yna.co.kr/view/AKR20261012081600001?section=politics/all")</f>
        <v>https://www.yna.co.kr/view/AKR20261012081600001?section=politics/all</v>
      </c>
      <c r="F7" s="3" t="str">
        <f ca="1">IFERROR(__xludf.DUMMYFUNCTION("TEXTJOIN("" "", TRUE, IMPORTXML(E7, ""//*[@id='articleWrap']//p""))"),"(서울=연합뉴스) 신현우 기자 = 12일 국회 과학기술정보방송통신위원회에서 열린 방미통위 등에 대한 국정감사에서 국민의힘 이진숙 의원이 
신상발언하고 있다. 2026.10.12 nowwego@yna.co.kr  (서울=연합뉴스) 박재하 기자 = 여야는 12일 국회 과학기술정보방송통신위원회 국정감사에서 국민의힘 이진숙 의원이 이재명 대통령의 
부모 묘소를 직접 찾아 공세를 벌인 것을 두고 공방을 벌였다.  더불어민주당에서는 이 의원이 ""정치의 탈을 쓴 "&amp;"패륜""을 일삼고 있다며 이 의원의 퇴장을 요구했고, 국민의힘은 민주당 한준호 의원실의 
'KBS 보도 외압' 의혹을 거듭 제기하며 ""내로남불 정치를 그만두라""고 맞섰다.  민주당 이정헌 의원은 이날 본격적인 질의 시작 전 의사진행발언에서 ""이진숙 의원은 최근 이재명 대통령의 부모님 묘소를 직접 찾아가서 
사진을 찍고 패륜 행위를 했다""며 ""선을 넘어도 한참 넘었고 도저히 묵과할 수 없는 망발""이라고 비판했다.  이어 ""무덤을 파헤쳐서 고인"&amp;"을 다시 욕보이겠다는 식의 정치적 부관참시 아니면 도대체 무엇이냐""며 ""이진숙 의원의 파묘 정치를 국회가 
더는 용납해서는 안 된다. 지금 당장 퇴장시킬 것을 촉구한다""고 말했다.  앞서 이진숙 의원은 지난 10일 경북 봉화군에 있는 이재명 대통령의 부모 묘소를 찾은 사진과 함께 올린 페이스북 글에서 ""농지로 묘를 
쓸 수 없는 곳""이라며 ""이재명은 농민들의 농지가 불법이니 투기니 따지기 전에 본인 부모 묘소부터 옮겨야 한다""고 주장했다. "&amp;" 이진숙 의원은 이날 국감장에선 ""대통령의 부모가 합장된 묘소에서 불법적인 묘소 조성에 대해서 국민들을 대신해 고발한 것""이라며 
""오히려 민주당이 나서서 대통령에게 '이장을 해주십시오'라고 요구해도 못 할 판에 무슨 패륜 정치냐""고 말했다.  무소속 최혁진 의원은 이진숙 의원이 방송통신위원장을 지낸 이력을 두고 ""당시 방통위의 문제를 바로잡고자 오늘 국감을 하는데 어떻게 
당사자가 이 자리에 앉아 있을 수 있느냐""며 ""이진숙 의원을 제척하"&amp;"고 퇴장시킬 것을 강력히 촉구한다""고 강조했다.  국민의힘은 여당 간사인 민주당 한준호 의원실의 'KBS 보도 외압' 의혹을 거론하며 반박에 나섰다.  국민의힘 김장겸 의원은 ""한 의원 측은 KBS에 항의 전화한 사실이 확인되고 들통이 나니까 통상적인 업무 소통이었다고 하면서 말을 
바꿨다""며 ""이게 방송의 독립과 자유를 수호해야 하는 방송미디어통신위원회의 국감 질의자로서 자세가 맞는지 의문스럽다""고 지적했다.  또 ""(민주당이) 이진숙 (방"&amp;"송통신)위원장을 쫓아내기 위해서 제정법까지 만들어 새로운 기구를 출범시켜 놓지 않았느냐""며 ""그 당시에 
업무를 들춰내면서 제척을 요구하는 민주당 위원들의 내로남불이고 이중 잣대""라고 주장했다.  jaeha67@yna.co.kr 제보는 카카오톡 okjebo &lt;저작권자(c) 연합뉴스, 무단 전재-재배포, AI 학습 및 활용 금지&gt; 2026/10/12 11:48 송고2026년10월12일 11시48분 송고")</f>
        <v>(서울=연합뉴스) 신현우 기자 = 12일 국회 과학기술정보방송통신위원회에서 열린 방미통위 등에 대한 국정감사에서 국민의힘 이진숙 의원이 
신상발언하고 있다. 2026.10.12 nowwego@yna.co.kr  (서울=연합뉴스) 박재하 기자 = 여야는 12일 국회 과학기술정보방송통신위원회 국정감사에서 국민의힘 이진숙 의원이 이재명 대통령의 
부모 묘소를 직접 찾아 공세를 벌인 것을 두고 공방을 벌였다.  더불어민주당에서는 이 의원이 "정치의 탈을 쓴 패륜"을 일삼고 있다며 이 의원의 퇴장을 요구했고, 국민의힘은 민주당 한준호 의원실의 
'KBS 보도 외압' 의혹을 거듭 제기하며 "내로남불 정치를 그만두라"고 맞섰다.  민주당 이정헌 의원은 이날 본격적인 질의 시작 전 의사진행발언에서 "이진숙 의원은 최근 이재명 대통령의 부모님 묘소를 직접 찾아가서 
사진을 찍고 패륜 행위를 했다"며 "선을 넘어도 한참 넘었고 도저히 묵과할 수 없는 망발"이라고 비판했다.  이어 "무덤을 파헤쳐서 고인을 다시 욕보이겠다는 식의 정치적 부관참시 아니면 도대체 무엇이냐"며 "이진숙 의원의 파묘 정치를 국회가 
더는 용납해서는 안 된다. 지금 당장 퇴장시킬 것을 촉구한다"고 말했다.  앞서 이진숙 의원은 지난 10일 경북 봉화군에 있는 이재명 대통령의 부모 묘소를 찾은 사진과 함께 올린 페이스북 글에서 "농지로 묘를 
쓸 수 없는 곳"이라며 "이재명은 농민들의 농지가 불법이니 투기니 따지기 전에 본인 부모 묘소부터 옮겨야 한다"고 주장했다.  이진숙 의원은 이날 국감장에선 "대통령의 부모가 합장된 묘소에서 불법적인 묘소 조성에 대해서 국민들을 대신해 고발한 것"이라며 
"오히려 민주당이 나서서 대통령에게 '이장을 해주십시오'라고 요구해도 못 할 판에 무슨 패륜 정치냐"고 말했다.  무소속 최혁진 의원은 이진숙 의원이 방송통신위원장을 지낸 이력을 두고 "당시 방통위의 문제를 바로잡고자 오늘 국감을 하는데 어떻게 
당사자가 이 자리에 앉아 있을 수 있느냐"며 "이진숙 의원을 제척하고 퇴장시킬 것을 강력히 촉구한다"고 강조했다.  국민의힘은 여당 간사인 민주당 한준호 의원실의 'KBS 보도 외압' 의혹을 거론하며 반박에 나섰다.  국민의힘 김장겸 의원은 "한 의원 측은 KBS에 항의 전화한 사실이 확인되고 들통이 나니까 통상적인 업무 소통이었다고 하면서 말을 
바꿨다"며 "이게 방송의 독립과 자유를 수호해야 하는 방송미디어통신위원회의 국감 질의자로서 자세가 맞는지 의문스럽다"고 지적했다.  또 "(민주당이) 이진숙 (방송통신)위원장을 쫓아내기 위해서 제정법까지 만들어 새로운 기구를 출범시켜 놓지 않았느냐"며 "그 당시에 
업무를 들춰내면서 제척을 요구하는 민주당 위원들의 내로남불이고 이중 잣대"라고 주장했다.  jaeha67@yna.co.kr 제보는 카카오톡 okjebo &lt;저작권자(c) 연합뉴스, 무단 전재-재배포, AI 학습 및 활용 금지&gt; 2026/10/12 11:48 송고2026년10월12일 11시48분 송고</v>
      </c>
    </row>
    <row r="8" spans="1:6" x14ac:dyDescent="0.2">
      <c r="D8" s="3" t="str">
        <f ca="1">IFERROR(__xludf.DUMMYFUNCTION("""COMPUTED_VALUE"""),"경찰청장 대행 ""한동훈 딸의혹, 새사실 드러나면 재수사 배제 안해""(종합)")</f>
        <v>경찰청장 대행 "한동훈 딸의혹, 새사실 드러나면 재수사 배제 안해"(종합)</v>
      </c>
      <c r="E8" s="4" t="str">
        <f ca="1">IFERROR(__xludf.DUMMYFUNCTION("""COMPUTED_VALUE"""),"https://www.yna.co.kr/view/AKR20261012078251004?section=politics/all")</f>
        <v>https://www.yna.co.kr/view/AKR20261012078251004?section=politics/all</v>
      </c>
      <c r="F8" s="3" t="str">
        <f ca="1">IFERROR(__xludf.DUMMYFUNCTION("TEXTJOIN("" "", TRUE, IMPORTXML(E8, ""//*[@id='articleWrap']//p""))"),"(서울=연합뉴스) 김인철 기자 = 김종철 경찰청장 직무대행이 12일 서울 서대문구 경찰청에서 열린 국회 행정안전위원회 경찰청 대상 
국정감사에서 더불어민주당 윤건영 의원 질의에 답하고 있다. 2026.10.12 yatoya@yna.co.kr  (서울=연합뉴스) 한지은 전재훈 조현영 윤민혁 기자 = 김종철 경찰청장 직무대행은 12일 한동훈 의원 딸의 '허위 스펙' 의혹 사건에 
대해 새로운 사실관계가 드러나면 전면 재수사 가능성을 배제하지 않겠다는 입장을"&amp;" 밝혔다.  김 대행은 이날 국회 행정안전위원회의 경찰청 국정감사에서 더불어민주당 윤건영 의원이 부실수사 의혹을 제기하며 전면 재수사를 요구하자 
""법과 원칙에 따라 절차대로 했다고 생각하지만, 새로운 사실관계가 드러난다면 전면 재수사 가능성을 배제하지 않겠다""고 답했다.  고발인들이 다시 고발하면 전면 재수사할 의향이 있느냐는 질문에는 ""검토하겠다""고 말했다.  김 대행은 고발인만 반복 조사한 것이 통상적이냐는 질문에 ""일상적이진 않다""고 "&amp;"답했다. 이어 ""조심스럽지만 적극적인 수사 노력이 
필요하지 않았나 생각한다""는 취지의 답변도 했다.  본청 차원의 감찰 요구에 대해서는 법무부가 사실관계를 확인하고 있는 것으로 안다며 ""사실관계가 확인되고 통보가 되면 거기에 맞춰서 
후속 조치를 강구하겠다""고 했다.  윤건영 의원은 경찰이 이 사건을 1년 8개월간 수사하면서 고발인은 6차례 조사했지만, 피고발인은 서면으로 한 차례 조사하는 데 
그쳤다고 지적했다.  또 논문 대필과 저작권법 위"&amp;"반 의혹 등이 사회적 문제가 됐는데도 압수수색 영장을 한 차례도 청구하지 않았고, 참고인 조사도 없었다고 
주장했다.  윤 의원은 당시 우종수 국가수사본부장이 기자간담회에서 '많은 참고인 조사를 했다'고 설명했지만, 그가 받은 자료에는 참고인 조사 
내역이 없다며 부실수사 의혹을 거듭 제기했다.  김종철 경찰청장 대행은 실제 참고인 조사 인원에 대해서는 확인하지 못했다며 ""확인해보겠다""고 답했다.  윤 의원은 ""경찰이 제대로 수사했는지 살펴봐야 하"&amp;"지 않겠느냐""며 ""윤석열 정부 때 있었던 이런 편파 봐주기 수사에 대해서는 철저히 
따져야 한다""고 촉구했다. (서울=연합뉴스) 김인철 기자 = 김종철 경찰청장 직무대행이 12일 서울 서대문구 경찰청에서 열린 국회 행정안전위원회 경찰청 대상 
국정감사에서 인사말을 하고 있다. 2026.10.12 yatoya@yna.co.kr  조국혁신당 정춘생 의원은 경찰이 해당 사건 수사 과정에서 미국에 있는 자료를 확보하기 위해 2022년 12월 검찰에 신청한"&amp;" 국제 
형사사법공조가 반려된 이후 추가 요청을 하지 않은 점을 지적했다.  정 의원은 ""(공조가) 반려돼서 수사가 멈춘 것이나 마찬가지""라며 ""검찰에서 돌려보낼 때 사유가 충분하지 않다고 (반려돼) 왔으면 
사유를 보완해서 다시 요청했어야 한다. 경찰이 수사할 의지가 없어 보였다""고 말했다.  그러면서 ""조국 전 장관의 자녀 수사는 어떻게 했나. 압수수색 90번 했다. 소환조사도 했다. 근데 (한 의원 딸 수사는) 압수수색 
0건, 소환조사 "&amp;"0건(이다.) 말이 되나""라고 지적했다.  김종철 경찰청장 대행은 ""한 의원이 아닌 다른 일반인이었다면, 검찰 출신이 아닌 다른 법무부 장관이었다면 똑같았겠냐""는 정 의원 
질의에 ""가정을 전제로 답변드릴 내용은 아니다""고 답했다.  재수사 계획을 묻는 말에는 ""새로운 사실관계가 있었는지, 고소 고발이 있으면 적극적으로 검토를 하겠다""고 말했다.  당시 수사에 관여한 이들에 대한 감사 계획에 대해선 ""검토하고 말씀드리겠다""고 했다.  앞"&amp;"서 서울경찰청 반부패·공공범죄수사대는 2022년 5월 당시 법무부 장관이던 한 의원 딸의 '허위 스펙' 의혹 고발장을 접수해 이듬해 
12월 불송치 결정을 내리고 사건을 종결했다.  경찰은 압수수색 영장을 신청하는 대신 해외 학회 등에 요청해 받은 11건의 자료를 분석한 뒤, 업무방해 혐의는 한 의원 딸의 논문이 
제출된 학회의 심사가 이뤄지지 않았다는 이유로 무혐의 처분했다.  한 의원 딸이 표절한 내용을 토대로 전자책을 제작하고 판매했다는 혐의(저작"&amp;"권법 위반)는 원저자의 고소가 없다며 '공소권 없음' 
처분했다.  김 대행은 이 같은 수사 방식에 대해 ""일반적인 수사 접근 방법은 아니라고 생각한다""고 말했다.  writer@yna.co.kr 제보는 카카오톡 okjebo &lt;저작권자(c) 연합뉴스, 무단 전재-재배포, AI 학습 및 활용 금지&gt; 2026/10/12 11:47 송고2026년10월12일 11시47분 송고")</f>
        <v>(서울=연합뉴스) 김인철 기자 = 김종철 경찰청장 직무대행이 12일 서울 서대문구 경찰청에서 열린 국회 행정안전위원회 경찰청 대상 
국정감사에서 더불어민주당 윤건영 의원 질의에 답하고 있다. 2026.10.12 yatoya@yna.co.kr  (서울=연합뉴스) 한지은 전재훈 조현영 윤민혁 기자 = 김종철 경찰청장 직무대행은 12일 한동훈 의원 딸의 '허위 스펙' 의혹 사건에 
대해 새로운 사실관계가 드러나면 전면 재수사 가능성을 배제하지 않겠다는 입장을 밝혔다.  김 대행은 이날 국회 행정안전위원회의 경찰청 국정감사에서 더불어민주당 윤건영 의원이 부실수사 의혹을 제기하며 전면 재수사를 요구하자 
"법과 원칙에 따라 절차대로 했다고 생각하지만, 새로운 사실관계가 드러난다면 전면 재수사 가능성을 배제하지 않겠다"고 답했다.  고발인들이 다시 고발하면 전면 재수사할 의향이 있느냐는 질문에는 "검토하겠다"고 말했다.  김 대행은 고발인만 반복 조사한 것이 통상적이냐는 질문에 "일상적이진 않다"고 답했다. 이어 "조심스럽지만 적극적인 수사 노력이 
필요하지 않았나 생각한다"는 취지의 답변도 했다.  본청 차원의 감찰 요구에 대해서는 법무부가 사실관계를 확인하고 있는 것으로 안다며 "사실관계가 확인되고 통보가 되면 거기에 맞춰서 
후속 조치를 강구하겠다"고 했다.  윤건영 의원은 경찰이 이 사건을 1년 8개월간 수사하면서 고발인은 6차례 조사했지만, 피고발인은 서면으로 한 차례 조사하는 데 
그쳤다고 지적했다.  또 논문 대필과 저작권법 위반 의혹 등이 사회적 문제가 됐는데도 압수수색 영장을 한 차례도 청구하지 않았고, 참고인 조사도 없었다고 
주장했다.  윤 의원은 당시 우종수 국가수사본부장이 기자간담회에서 '많은 참고인 조사를 했다'고 설명했지만, 그가 받은 자료에는 참고인 조사 
내역이 없다며 부실수사 의혹을 거듭 제기했다.  김종철 경찰청장 대행은 실제 참고인 조사 인원에 대해서는 확인하지 못했다며 "확인해보겠다"고 답했다.  윤 의원은 "경찰이 제대로 수사했는지 살펴봐야 하지 않겠느냐"며 "윤석열 정부 때 있었던 이런 편파 봐주기 수사에 대해서는 철저히 
따져야 한다"고 촉구했다. (서울=연합뉴스) 김인철 기자 = 김종철 경찰청장 직무대행이 12일 서울 서대문구 경찰청에서 열린 국회 행정안전위원회 경찰청 대상 
국정감사에서 인사말을 하고 있다. 2026.10.12 yatoya@yna.co.kr  조국혁신당 정춘생 의원은 경찰이 해당 사건 수사 과정에서 미국에 있는 자료를 확보하기 위해 2022년 12월 검찰에 신청한 국제 
형사사법공조가 반려된 이후 추가 요청을 하지 않은 점을 지적했다.  정 의원은 "(공조가) 반려돼서 수사가 멈춘 것이나 마찬가지"라며 "검찰에서 돌려보낼 때 사유가 충분하지 않다고 (반려돼) 왔으면 
사유를 보완해서 다시 요청했어야 한다. 경찰이 수사할 의지가 없어 보였다"고 말했다.  그러면서 "조국 전 장관의 자녀 수사는 어떻게 했나. 압수수색 90번 했다. 소환조사도 했다. 근데 (한 의원 딸 수사는) 압수수색 
0건, 소환조사 0건(이다.) 말이 되나"라고 지적했다.  김종철 경찰청장 대행은 "한 의원이 아닌 다른 일반인이었다면, 검찰 출신이 아닌 다른 법무부 장관이었다면 똑같았겠냐"는 정 의원 
질의에 "가정을 전제로 답변드릴 내용은 아니다"고 답했다.  재수사 계획을 묻는 말에는 "새로운 사실관계가 있었는지, 고소 고발이 있으면 적극적으로 검토를 하겠다"고 말했다.  당시 수사에 관여한 이들에 대한 감사 계획에 대해선 "검토하고 말씀드리겠다"고 했다.  앞서 서울경찰청 반부패·공공범죄수사대는 2022년 5월 당시 법무부 장관이던 한 의원 딸의 '허위 스펙' 의혹 고발장을 접수해 이듬해 
12월 불송치 결정을 내리고 사건을 종결했다.  경찰은 압수수색 영장을 신청하는 대신 해외 학회 등에 요청해 받은 11건의 자료를 분석한 뒤, 업무방해 혐의는 한 의원 딸의 논문이 
제출된 학회의 심사가 이뤄지지 않았다는 이유로 무혐의 처분했다.  한 의원 딸이 표절한 내용을 토대로 전자책을 제작하고 판매했다는 혐의(저작권법 위반)는 원저자의 고소가 없다며 '공소권 없음' 
처분했다.  김 대행은 이 같은 수사 방식에 대해 "일반적인 수사 접근 방법은 아니라고 생각한다"고 말했다.  writer@yna.co.kr 제보는 카카오톡 okjebo &lt;저작권자(c) 연합뉴스, 무단 전재-재배포, AI 학습 및 활용 금지&gt; 2026/10/12 11:47 송고2026년10월12일 11시47분 송고</v>
      </c>
    </row>
    <row r="9" spans="1:6" x14ac:dyDescent="0.2">
      <c r="D9" s="3" t="str">
        <f ca="1">IFERROR(__xludf.DUMMYFUNCTION("""COMPUTED_VALUE"""),"장동혁 스토킹 혐의' 유튜버 재판서 혐의 부인…""정당한 취재""")</f>
        <v>장동혁 스토킹 혐의' 유튜버 재판서 혐의 부인…"정당한 취재"</v>
      </c>
      <c r="E9" s="4" t="str">
        <f ca="1">IFERROR(__xludf.DUMMYFUNCTION("""COMPUTED_VALUE"""),"https://www.yna.co.kr/view/AKR20261012085600004?section=politics/all")</f>
        <v>https://www.yna.co.kr/view/AKR20261012085600004?section=politics/all</v>
      </c>
      <c r="F9" s="3" t="str">
        <f ca="1">IFERROR(__xludf.DUMMYFUNCTION("TEXTJOIN("" "", TRUE, IMPORTXML(E9, ""//*[@id='articleWrap']//p""))"),"[연합뉴스 자료사진]  (서울=연합뉴스) 김채린 기자 = 국민의힘 장동혁 대표를 스토킹한 혐의로 기소된 친여 성향 유튜브 채널 진행자들이 첫 재판에서 혐의를 
부인했다.  12일 서울남부지법 형사9단독 고소영 판사는 스토킹처벌법 위반 등 혐의로 재판에 넘겨진 유튜브 채널 '정치한잔' 진행자 
최모(39)씨와 박모(39)씨에 대한 공판 기일을 열었다.  이들은 지난해부터 장 대표 공식 일정을 약 27차례 따라다니며 ""집 6채는 언제 처분할 것이냐""는 "&amp;"등의 질문을 해온 혐의를 받는다.  당시 국민의힘 부동산정책 정상화 특위 위원장을 맡은 장 대표는 아파트와 주택 등 부동산 자산 6채를 보유한 것으로 알려졌다.   이에 장 대표 측은 지난 3월 정치한잔 진행자들을 경찰에 고소했다.  이날 최씨와 박씨 측 변호인은 ""피고인들의 행위는 정상적인 취재 활동일뿐 스토킹에 해당하지 않는다""며 ""스토킹에 해당한다고 하더라도 
사회상규에 위배되지 않는 정당행위라고 생각한다""고 했다.  이어 ""일부 영상을 "&amp;"보면 장 대표가 피고인들에게 먼저 다가가 악수를 요청하기도 한다""고 덧붙였다.   변호인은 또 제출된 증거 가운데 장동혁 대표가 직접 진술한 내용은 없고, 보좌진이나 고소 대리인의 진술만 있다며 정확한 판단을 위해 
장 대표가 법정에 증인으로 출석해야 한다고 주장했다.  재판부는 장 대표에 대한 증인 채택 여부를 추후 결정할 것으로 보인다.  lynn@yna.co.kr 제보는 카카오톡 okjebo &lt;저작권자(c) 연합뉴스, 무단 전재-재배포, AI 학"&amp;"습 및 활용 금지&gt; 2026/10/12 11:44 송고2026년10월12일 11시44분 송고")</f>
        <v>[연합뉴스 자료사진]  (서울=연합뉴스) 김채린 기자 = 국민의힘 장동혁 대표를 스토킹한 혐의로 기소된 친여 성향 유튜브 채널 진행자들이 첫 재판에서 혐의를 
부인했다.  12일 서울남부지법 형사9단독 고소영 판사는 스토킹처벌법 위반 등 혐의로 재판에 넘겨진 유튜브 채널 '정치한잔' 진행자 
최모(39)씨와 박모(39)씨에 대한 공판 기일을 열었다.  이들은 지난해부터 장 대표 공식 일정을 약 27차례 따라다니며 "집 6채는 언제 처분할 것이냐"는 등의 질문을 해온 혐의를 받는다.  당시 국민의힘 부동산정책 정상화 특위 위원장을 맡은 장 대표는 아파트와 주택 등 부동산 자산 6채를 보유한 것으로 알려졌다.   이에 장 대표 측은 지난 3월 정치한잔 진행자들을 경찰에 고소했다.  이날 최씨와 박씨 측 변호인은 "피고인들의 행위는 정상적인 취재 활동일뿐 스토킹에 해당하지 않는다"며 "스토킹에 해당한다고 하더라도 
사회상규에 위배되지 않는 정당행위라고 생각한다"고 했다.  이어 "일부 영상을 보면 장 대표가 피고인들에게 먼저 다가가 악수를 요청하기도 한다"고 덧붙였다.   변호인은 또 제출된 증거 가운데 장동혁 대표가 직접 진술한 내용은 없고, 보좌진이나 고소 대리인의 진술만 있다며 정확한 판단을 위해 
장 대표가 법정에 증인으로 출석해야 한다고 주장했다.  재판부는 장 대표에 대한 증인 채택 여부를 추후 결정할 것으로 보인다.  lynn@yna.co.kr 제보는 카카오톡 okjebo &lt;저작권자(c) 연합뉴스, 무단 전재-재배포, AI 학습 및 활용 금지&gt; 2026/10/12 11:44 송고2026년10월12일 11시44분 송고</v>
      </c>
    </row>
    <row r="10" spans="1:6" x14ac:dyDescent="0.2">
      <c r="D10" s="3" t="str">
        <f ca="1">IFERROR(__xludf.DUMMYFUNCTION("""COMPUTED_VALUE"""),"문체위, 암살자(들) 공방…""12세 관람가 왜?""·""인위적 개입 안돼""")</f>
        <v>문체위, 암살자(들) 공방…"12세 관람가 왜?"·"인위적 개입 안돼"</v>
      </c>
      <c r="E10" s="4" t="str">
        <f ca="1">IFERROR(__xludf.DUMMYFUNCTION("""COMPUTED_VALUE"""),"https://www.yna.co.kr/view/AKR20261012077900001?section=politics/all")</f>
        <v>https://www.yna.co.kr/view/AKR20261012077900001?section=politics/all</v>
      </c>
      <c r="F10" s="3" t="str">
        <f ca="1">IFERROR(__xludf.DUMMYFUNCTION("TEXTJOIN("" "", TRUE, IMPORTXML(E10, ""//*[@id='articleWrap']//p""))"),"(서울=연합뉴스) 배재만 기자 = 29일 국회에서 열린 문화체육관광위원회 전체회의에서 이재정 위원장이 국감 증인 등 출석 요구의 건을 
의결하고 있다. 2026.9.29 scoop@yna.co.kr  (서울=연합뉴스) 박경준 기자 = 국회 문화체육관광위원회의 7일 영화진흥위원회(영진위), 영상물등급위원회(영등위) 등을 대상으로 한 
국정감사에서는 문체부 국감에 이어 다시 한번 영화 '암살자(들)'을 놓고 여야의 공방이 벌어졌다.  국민의힘은 배우들의 욕"&amp;"설이 나오고 폭력 장면이 담긴 영화가 어떻게 12세 이상 관람가 판정을 받았는지를 물었고, 여당은 이 같은 
추궁이 정치적 간섭이라고 반박했다.  국민의힘 윤용근 의원은 김병재 영등위 위원장에게 ""이 정도 폭력성과 욕설 등을 초등학교 5∼6학년이 충격 없이 받아들일 수 
있겠나""라며 ""교육 현장의 언어폭력 기준과 영등위의 청소년 보호 기준이 전혀 다른가""라고 따져 물었다.  같은 당 정연욱 의원은 ""영화등급 분류결정 의견서를 보니 '12세 이상"&amp;" 청소년이 얻은 지식과 경험, 교육 근간을 저해하지 않으면서 
수용 가능하다'고 했는데 지난 50여년간 교과서에서 육영수 여사 피살 사건은 수록된 적 없다""고 지적했다.  그러면서 ""가르친 적도 없는 사건인데 도대체 어떤 지식과 경험을 근거로 수용 가능하다고 판단한 것인가""라고 반문했다.  이 같은 평가에 김 위원장은 ""앞으로도 위원들의 독립성이나 자율성을 지켜야 하는 범위 내에서 최대한 청소년 보호를 위해 신중하게 
등급을 분류하도록 하겠다"""&amp;"고 대답했다.  반면 더불어민주당 조계원 의원은 ""영화를 보고 해석하는 것은 관객에 따라 다를 수 있고, 영화를 제작하는 사람은 창작의 자유를 
갖는다""며 ""그 판단에 인위적으로 개입해 막을 권리는 없다""고 강조했다.  그러면서 ""영화계에서도 '창작은 창작이고, 창작이 진실과 완전히 같지 않고, 해석은 관객의 몫'이라고 보고 있다""고 말했다.  한상준 영진위원장은 '암살자(들)'의 역사 왜곡 논란에 대해 ""창작의 자유를 위축시킬 우려가 있다"&amp;"고 생각한다""며 ""회복 중인 영화 
산업에 혹시 위축이라도 되지 않을까 우려되는 게 사실이다""라고 덧붙였다.  kjpark@yna.co.kr 제보는 카카오톡 okjebo &lt;저작권자(c) 연합뉴스, 무단 전재-재배포, AI 학습 및 활용 금지&gt; 2026/10/12 11:43 송고2026년10월12일 11시43분 송고")</f>
        <v>(서울=연합뉴스) 배재만 기자 = 29일 국회에서 열린 문화체육관광위원회 전체회의에서 이재정 위원장이 국감 증인 등 출석 요구의 건을 
의결하고 있다. 2026.9.29 scoop@yna.co.kr  (서울=연합뉴스) 박경준 기자 = 국회 문화체육관광위원회의 7일 영화진흥위원회(영진위), 영상물등급위원회(영등위) 등을 대상으로 한 
국정감사에서는 문체부 국감에 이어 다시 한번 영화 '암살자(들)'을 놓고 여야의 공방이 벌어졌다.  국민의힘은 배우들의 욕설이 나오고 폭력 장면이 담긴 영화가 어떻게 12세 이상 관람가 판정을 받았는지를 물었고, 여당은 이 같은 
추궁이 정치적 간섭이라고 반박했다.  국민의힘 윤용근 의원은 김병재 영등위 위원장에게 "이 정도 폭력성과 욕설 등을 초등학교 5∼6학년이 충격 없이 받아들일 수 
있겠나"라며 "교육 현장의 언어폭력 기준과 영등위의 청소년 보호 기준이 전혀 다른가"라고 따져 물었다.  같은 당 정연욱 의원은 "영화등급 분류결정 의견서를 보니 '12세 이상 청소년이 얻은 지식과 경험, 교육 근간을 저해하지 않으면서 
수용 가능하다'고 했는데 지난 50여년간 교과서에서 육영수 여사 피살 사건은 수록된 적 없다"고 지적했다.  그러면서 "가르친 적도 없는 사건인데 도대체 어떤 지식과 경험을 근거로 수용 가능하다고 판단한 것인가"라고 반문했다.  이 같은 평가에 김 위원장은 "앞으로도 위원들의 독립성이나 자율성을 지켜야 하는 범위 내에서 최대한 청소년 보호를 위해 신중하게 
등급을 분류하도록 하겠다"고 대답했다.  반면 더불어민주당 조계원 의원은 "영화를 보고 해석하는 것은 관객에 따라 다를 수 있고, 영화를 제작하는 사람은 창작의 자유를 
갖는다"며 "그 판단에 인위적으로 개입해 막을 권리는 없다"고 강조했다.  그러면서 "영화계에서도 '창작은 창작이고, 창작이 진실과 완전히 같지 않고, 해석은 관객의 몫'이라고 보고 있다"고 말했다.  한상준 영진위원장은 '암살자(들)'의 역사 왜곡 논란에 대해 "창작의 자유를 위축시킬 우려가 있다고 생각한다"며 "회복 중인 영화 
산업에 혹시 위축이라도 되지 않을까 우려되는 게 사실이다"라고 덧붙였다.  kjpark@yna.co.kr 제보는 카카오톡 okjebo &lt;저작권자(c) 연합뉴스, 무단 전재-재배포, AI 학습 및 활용 금지&gt; 2026/10/12 11:43 송고2026년10월12일 11시43분 송고</v>
      </c>
    </row>
    <row r="11" spans="1:6" x14ac:dyDescent="0.2">
      <c r="D11" s="3" t="str">
        <f ca="1">IFERROR(__xludf.DUMMYFUNCTION("""COMPUTED_VALUE"""),"[쇼츠] 로켓 쏘자 100m 지뢰밭 '쾅쾅'…튀르키예 지뢰개척장비 첫 수출")</f>
        <v>[쇼츠] 로켓 쏘자 100m 지뢰밭 '쾅쾅'…튀르키예 지뢰개척장비 첫 수출</v>
      </c>
      <c r="E11" s="4" t="str">
        <f ca="1">IFERROR(__xludf.DUMMYFUNCTION("""COMPUTED_VALUE"""),"https://www.yna.co.kr/view/AKR20261012082600704?section=politics/all")</f>
        <v>https://www.yna.co.kr/view/AKR20261012082600704?section=politics/all</v>
      </c>
      <c r="F11" s="3" t="str">
        <f ca="1">IFERROR(__xludf.DUMMYFUNCTION("TEXTJOIN("" "", TRUE, IMPORTXML(E11, ""//*[@id='articleWrap']//p""))")," (서울=연합뉴스) 튀르키예가 지뢰밭 위에 폭약을 길게 펼쳐 한꺼번에 폭발시키는 지뢰지대 통로 개척체계 '알파이-I'(ALPAY-I)를 
처음 수출했습니다.  튀르키예 현지 매체 톨가 외즈베크와 튀르크인폼은 지난 10일(현지시간) 국영 방산업체 MKE가 이번 주 알파이-I의 리투아니아 인도를 
완료했다고 보도했습니다.  이번 인도는 알파이-I의 첫 해외 수출입니다. 다만 계약 체결 시점과 수출 수량, 금액은 공개되지 않았습니다.  알파이-I는 지뢰를 하"&amp;"나씩 찾아 제거하는 장비가 아닙니다. 폭약을 연결한 긴 줄을 지뢰밭에 펼친 뒤 폭발 충격으로 매설된 지뢰를 
터뜨리거나 무력화해 병력과 차량이 지나갈 길을 만드는 체계입니다.  로켓은 폭약 줄을 발사 지점에서 약 200ｍ 떨어진 곳까지 운반합니다. 이후 약 400㎏의 C-4 폭약을 터뜨리면 폭 10ｍ, 길이 
100ｍ 규모의 통로를 개척할 수 있습니다.  자세한 내용은 풀영상에서 확인하세요.  제작 : 전석우·최주리  영상 : 로이터·유튜브 MKE·사이"&amp;"트 TURKINFORM  jujitsusw@yna.co.kr 제보는 카카오톡 okjebo &lt;저작권자(c) 연합뉴스, 무단 전재-재배포, AI 학습 및 활용 금지&gt; 2026/10/12 11:40 송고2026년10월12일 11시40분 송고")</f>
        <v xml:space="preserve"> (서울=연합뉴스) 튀르키예가 지뢰밭 위에 폭약을 길게 펼쳐 한꺼번에 폭발시키는 지뢰지대 통로 개척체계 '알파이-I'(ALPAY-I)를 
처음 수출했습니다.  튀르키예 현지 매체 톨가 외즈베크와 튀르크인폼은 지난 10일(현지시간) 국영 방산업체 MKE가 이번 주 알파이-I의 리투아니아 인도를 
완료했다고 보도했습니다.  이번 인도는 알파이-I의 첫 해외 수출입니다. 다만 계약 체결 시점과 수출 수량, 금액은 공개되지 않았습니다.  알파이-I는 지뢰를 하나씩 찾아 제거하는 장비가 아닙니다. 폭약을 연결한 긴 줄을 지뢰밭에 펼친 뒤 폭발 충격으로 매설된 지뢰를 
터뜨리거나 무력화해 병력과 차량이 지나갈 길을 만드는 체계입니다.  로켓은 폭약 줄을 발사 지점에서 약 200ｍ 떨어진 곳까지 운반합니다. 이후 약 400㎏의 C-4 폭약을 터뜨리면 폭 10ｍ, 길이 
100ｍ 규모의 통로를 개척할 수 있습니다.  자세한 내용은 풀영상에서 확인하세요.  제작 : 전석우·최주리  영상 : 로이터·유튜브 MKE·사이트 TURKINFORM  jujitsusw@yna.co.kr 제보는 카카오톡 okjebo &lt;저작권자(c) 연합뉴스, 무단 전재-재배포, AI 학습 및 활용 금지&gt; 2026/10/12 11:40 송고2026년10월12일 11시40분 송고</v>
      </c>
    </row>
    <row r="12" spans="1:6" x14ac:dyDescent="0.2">
      <c r="D12" s="3" t="str">
        <f ca="1">IFERROR(__xludf.DUMMYFUNCTION("""COMPUTED_VALUE"""),"병무청장 ""선수 언행 유감…병역특례 개선요구 무겁게 받아들여""")</f>
        <v>병무청장 "선수 언행 유감…병역특례 개선요구 무겁게 받아들여"</v>
      </c>
      <c r="E12" s="4" t="str">
        <f ca="1">IFERROR(__xludf.DUMMYFUNCTION("""COMPUTED_VALUE"""),"https://www.yna.co.kr/view/AKR20261012083300504?section=politics/all")</f>
        <v>https://www.yna.co.kr/view/AKR20261012083300504?section=politics/all</v>
      </c>
      <c r="F12" s="3" t="str">
        <f ca="1">IFERROR(__xludf.DUMMYFUNCTION("TEXTJOIN("" "", TRUE, IMPORTXML(E12, ""//*[@id='articleWrap']//p""))"),"(서울=연합뉴스) 김도훈 기자 = 홍소영 병무청장이 5일 청와대 영빈관에서 열린 이재명 대통령 주재 부처 업무보고에서 보고하고 있다. 
2026.8.5 [청와대통신사진기자단] superdoo82@yna.co.kr  (서울=연합뉴스) 전명훈 기자 = 홍소영 병무청장은 12일 2026 아이치·나고야 아시안게임 출전 선수들이 병역 특례 제도와 관련해 
부적절한 언행을 한 데 대해 ""병무청장으로서 매우 안타깝고 유감스럽게 생각한다""고 밝혔다.  홍 청장은 "&amp;"이날 정부대전청사 병무청 본청에서 열린 국회 국방위원회 병무청 국정감사에서 더불어민주당 김병주 의원의 관련 질의에 이같이 
답변했다.  홍 청장은 ""병역을 이행하고 있는 우리 젊은 청년들이 받았을, 느꼈을 상실감과 제도개선을 요구하는 국민의 목소리를 병무청장으로서 
무겁게 받아들이고 있다""고도 덧붙였다.  홍 청장은 예술·체육요원을 포함한 병역 특례제도를 개정할 필요성에 대한 의견을 묻자 ""국방부와 의견이 같다""고 답했다. 앞서 국방부는 
이 제"&amp;"도를 점진적으로 줄이고 장기적으로는 폐지하겠다는 입장을 밝혔다.  홍 청장은 대중문화 영역에서 국제적 성과를 낸 그룹 방탄소년단(BTS) 군 복무를 모두 마친 데 대해서는 ""BTS 멤버 전원이 1명도 
빠짐없이 전원이 병역을 이행함으로써 병역의 공정성과 국민에 대한 신뢰를 높이는 데 크게 기여했다""고 평가했다.  id@yna.co.kr 제보는 카카오톡 okjebo &lt;저작권자(c) 연합뉴스, 무단 전재-재배포, AI 학습 및 활용 금지&gt; 2026/10"&amp;"/12 11:36 송고2026년10월12일 11시36분 송고")</f>
        <v>(서울=연합뉴스) 김도훈 기자 = 홍소영 병무청장이 5일 청와대 영빈관에서 열린 이재명 대통령 주재 부처 업무보고에서 보고하고 있다. 
2026.8.5 [청와대통신사진기자단] superdoo82@yna.co.kr  (서울=연합뉴스) 전명훈 기자 = 홍소영 병무청장은 12일 2026 아이치·나고야 아시안게임 출전 선수들이 병역 특례 제도와 관련해 
부적절한 언행을 한 데 대해 "병무청장으로서 매우 안타깝고 유감스럽게 생각한다"고 밝혔다.  홍 청장은 이날 정부대전청사 병무청 본청에서 열린 국회 국방위원회 병무청 국정감사에서 더불어민주당 김병주 의원의 관련 질의에 이같이 
답변했다.  홍 청장은 "병역을 이행하고 있는 우리 젊은 청년들이 받았을, 느꼈을 상실감과 제도개선을 요구하는 국민의 목소리를 병무청장으로서 
무겁게 받아들이고 있다"고도 덧붙였다.  홍 청장은 예술·체육요원을 포함한 병역 특례제도를 개정할 필요성에 대한 의견을 묻자 "국방부와 의견이 같다"고 답했다. 앞서 국방부는 
이 제도를 점진적으로 줄이고 장기적으로는 폐지하겠다는 입장을 밝혔다.  홍 청장은 대중문화 영역에서 국제적 성과를 낸 그룹 방탄소년단(BTS) 군 복무를 모두 마친 데 대해서는 "BTS 멤버 전원이 1명도 
빠짐없이 전원이 병역을 이행함으로써 병역의 공정성과 국민에 대한 신뢰를 높이는 데 크게 기여했다"고 평가했다.  id@yna.co.kr 제보는 카카오톡 okjebo &lt;저작권자(c) 연합뉴스, 무단 전재-재배포, AI 학습 및 활용 금지&gt; 2026/10/12 11:36 송고2026년10월12일 11시36분 송고</v>
      </c>
    </row>
    <row r="13" spans="1:6" x14ac:dyDescent="0.2">
      <c r="D13" s="3" t="str">
        <f ca="1">IFERROR(__xludf.DUMMYFUNCTION("""COMPUTED_VALUE"""),"경남도 ""박완수 지사 13시간 조사, 정치공세 대상 되어선 안 돼""")</f>
        <v>경남도 "박완수 지사 13시간 조사, 정치공세 대상 되어선 안 돼"</v>
      </c>
      <c r="E13" s="4" t="str">
        <f ca="1">IFERROR(__xludf.DUMMYFUNCTION("""COMPUTED_VALUE"""),"https://www.yna.co.kr/view/AKR20261012080500052?section=politics/all")</f>
        <v>https://www.yna.co.kr/view/AKR20261012080500052?section=politics/all</v>
      </c>
      <c r="F13" s="3" t="str">
        <f ca="1">IFERROR(__xludf.DUMMYFUNCTION("TEXTJOIN("" "", TRUE, IMPORTXML(E13, ""//*[@id='articleWrap']//p""))"),"경남경찰청이 지난 6월 9일 6·3지방선거 과정에서 불거진 국민의힘 박완수 경남지사 당선인 캠프 측의 '관권선거 의혹'과 관련해 
압수수색을 하고 있다. [연합뉴스 자료사진]  (창원=연합뉴스) 이정훈 기자 = = 유해남 경남도 대변인은 12일 ""박완수 지사가 공직선거법 위반 혐의로 13시간 동안 경찰 조사를 
받았다는 이유만으로 정치적 공세 대상이 되어서는 안 된다""고 밝혔다.  유 대변인은 이날 도청에서 예정에 없던 브리핑을 열어 ""장시간 조사"&amp;"를 받았다는 사실 자체가 혐의의 중대성이나 범죄사실을 의미하는 것은 
아니다""며 이같이 말했다.  그는 ""박 지사 혐의를 뒷받침할 증거가 제시된 것이 아니라 여러 관계자 진술, 개별적 사실관계, 정황들을 확인하는 과정에서 조사가 
길어진 것으로 안다""며 ""13시간이라는 조사 시간만을 근거로 혐의가 중대하거나 상당한 증거가 확보된 것처럼 해석해서는 안 된다""고 
설명했다.  이어 ""도와 박 지사는 수사 과정에서 납득하기 어려운 부분이 있더라도 "&amp;"수사기관 판단을 존중하면서 불필요한 논란을 만들지 않는 것이 
우선이라 판단해 최대한 말을 아껴왔지만, 앞으로는 수사에 당당하게 임하고 협조하면서 문제점에 대해서는 입장을 분명하게 밝히겠다""고 
밝혔다.  이와 관련해 진보당 경남도당은 이날 오전 경남도의회에서 기자회견을 열고 경찰 조사를 받은 박 지사의 사죄와 사퇴를 촉구했다.  김인애 도당 대변인은 ""도민의 공정한 투표권 행사를 훼손한 박 지사는 도민 앞에 사죄해야 하며 정치적 책임을 지고 당장 "&amp;"사퇴하라""고 
촉구했다.  앞서 경남경찰청 사이버수사과는 지난 6·3 지방선거 당시 박완수 경남지사 후보 캠프의 사전선거운동·유사 선거사무소 설치 등 혐의와 
관련해 지난 7일 오전 8시부터 오후 9시까지 박 지사를 공직선거법 위반 피의자 신분으로 불러 조사했다.  경찰은 당시 국민의힘 경남지사 후보였던 박 지사가 사전선거운동, 유사 선거사무소 설치를 지시했거나 알고 있었는지 등을 집중적으로 물은 
것으로 알려졌다. [진보당 경남도당 제공. 재판매 및"&amp;" DB 금지]  seaman@yna.co.kr 제보는 카카오톡 okjebo &lt;저작권자(c) 연합뉴스, 무단 전재-재배포, AI 학습 및 활용 금지&gt; 2026/10/12 11:33 송고2026년10월12일 11시33분 송고")</f>
        <v>경남경찰청이 지난 6월 9일 6·3지방선거 과정에서 불거진 국민의힘 박완수 경남지사 당선인 캠프 측의 '관권선거 의혹'과 관련해 
압수수색을 하고 있다. [연합뉴스 자료사진]  (창원=연합뉴스) 이정훈 기자 = = 유해남 경남도 대변인은 12일 "박완수 지사가 공직선거법 위반 혐의로 13시간 동안 경찰 조사를 
받았다는 이유만으로 정치적 공세 대상이 되어서는 안 된다"고 밝혔다.  유 대변인은 이날 도청에서 예정에 없던 브리핑을 열어 "장시간 조사를 받았다는 사실 자체가 혐의의 중대성이나 범죄사실을 의미하는 것은 
아니다"며 이같이 말했다.  그는 "박 지사 혐의를 뒷받침할 증거가 제시된 것이 아니라 여러 관계자 진술, 개별적 사실관계, 정황들을 확인하는 과정에서 조사가 
길어진 것으로 안다"며 "13시간이라는 조사 시간만을 근거로 혐의가 중대하거나 상당한 증거가 확보된 것처럼 해석해서는 안 된다"고 
설명했다.  이어 "도와 박 지사는 수사 과정에서 납득하기 어려운 부분이 있더라도 수사기관 판단을 존중하면서 불필요한 논란을 만들지 않는 것이 
우선이라 판단해 최대한 말을 아껴왔지만, 앞으로는 수사에 당당하게 임하고 협조하면서 문제점에 대해서는 입장을 분명하게 밝히겠다"고 
밝혔다.  이와 관련해 진보당 경남도당은 이날 오전 경남도의회에서 기자회견을 열고 경찰 조사를 받은 박 지사의 사죄와 사퇴를 촉구했다.  김인애 도당 대변인은 "도민의 공정한 투표권 행사를 훼손한 박 지사는 도민 앞에 사죄해야 하며 정치적 책임을 지고 당장 사퇴하라"고 
촉구했다.  앞서 경남경찰청 사이버수사과는 지난 6·3 지방선거 당시 박완수 경남지사 후보 캠프의 사전선거운동·유사 선거사무소 설치 등 혐의와 
관련해 지난 7일 오전 8시부터 오후 9시까지 박 지사를 공직선거법 위반 피의자 신분으로 불러 조사했다.  경찰은 당시 국민의힘 경남지사 후보였던 박 지사가 사전선거운동, 유사 선거사무소 설치를 지시했거나 알고 있었는지 등을 집중적으로 물은 
것으로 알려졌다. [진보당 경남도당 제공. 재판매 및 DB 금지]  seaman@yna.co.kr 제보는 카카오톡 okjebo &lt;저작권자(c) 연합뉴스, 무단 전재-재배포, AI 학습 및 활용 금지&gt; 2026/10/12 11:33 송고2026년10월12일 11시33분 송고</v>
      </c>
    </row>
    <row r="14" spans="1:6" x14ac:dyDescent="0.2">
      <c r="D14" s="3" t="str">
        <f ca="1">IFERROR(__xludf.DUMMYFUNCTION("""COMPUTED_VALUE"""),"[게시판] 中企나눔재단, 해군 2함대사령부에 3천만원 상당 부리토 지원")</f>
        <v>[게시판] 中企나눔재단, 해군 2함대사령부에 3천만원 상당 부리토 지원</v>
      </c>
      <c r="E14" s="4" t="str">
        <f ca="1">IFERROR(__xludf.DUMMYFUNCTION("""COMPUTED_VALUE"""),"https://www.yna.co.kr/view/AKR20261012052000030?section=politics/all")</f>
        <v>https://www.yna.co.kr/view/AKR20261012052000030?section=politics/all</v>
      </c>
      <c r="F14" s="3" t="str">
        <f ca="1">IFERROR(__xludf.DUMMYFUNCTION("TEXTJOIN("" "", TRUE, IMPORTXML(E14, ""//*[@id='articleWrap']//p""))"),"[중소기업사랑나눔재단 홈페이지 캡처. 재판매 및 DB 금지]  ▲ 중소기업사랑나눔재단은 12일 경기도 평택에 위치한 해군 제2함대사령부를 찾아 3천만원 상당의 부리토와 300만원 상당의 운동용품을 
지원했다. 부리토는 군 장병을 응원하고 이들의 사기진작을 위해 남향푸드또띠아가 후원한 제품이다. (서울=연합뉴스) 제보는 카카오톡 okjebo &lt;저작권자(c) 연합뉴스, 무단 전재-재배포, AI 학습 및 활용 금지&gt; 2026/10/12 11:30 송고2026"&amp;"년10월12일 11시30분 송고")</f>
        <v>[중소기업사랑나눔재단 홈페이지 캡처. 재판매 및 DB 금지]  ▲ 중소기업사랑나눔재단은 12일 경기도 평택에 위치한 해군 제2함대사령부를 찾아 3천만원 상당의 부리토와 300만원 상당의 운동용품을 
지원했다. 부리토는 군 장병을 응원하고 이들의 사기진작을 위해 남향푸드또띠아가 후원한 제품이다. (서울=연합뉴스) 제보는 카카오톡 okjebo &lt;저작권자(c) 연합뉴스, 무단 전재-재배포, AI 학습 및 활용 금지&gt; 2026/10/12 11:30 송고2026년10월12일 11시30분 송고</v>
      </c>
    </row>
    <row r="15" spans="1:6" x14ac:dyDescent="0.2">
      <c r="D15" s="3" t="str">
        <f ca="1">IFERROR(__xludf.DUMMYFUNCTION("""COMPUTED_VALUE"""),"김병주 의원 ""병역 검사 때 교육 제각각…면탈 예방 교육 부족""")</f>
        <v>김병주 의원 "병역 검사 때 교육 제각각…면탈 예방 교육 부족"</v>
      </c>
      <c r="E15" s="4" t="str">
        <f ca="1">IFERROR(__xludf.DUMMYFUNCTION("""COMPUTED_VALUE"""),"https://www.yna.co.kr/view/AKR20261012080400060?section=politics/all")</f>
        <v>https://www.yna.co.kr/view/AKR20261012080400060?section=politics/all</v>
      </c>
      <c r="F15" s="3" t="str">
        <f ca="1">IFERROR(__xludf.DUMMYFUNCTION("TEXTJOIN("" "", TRUE, IMPORTXML(E15, ""//*[@id='articleWrap']//p""))")," (남양주=연합뉴스) 김도윤 기자 = 각 지방병무청이 병역 검사 대기 시간에 진행하는 교육 시간과 내용이 제각각인 데다 병역 면탈 예방 
교육은 14곳 중 4곳만 진행하는 것으로 나타났다.  12일 국회 국방위원회 소속 더불어민주당 김병주(남양주을) 의원이 병무청으로부터 제출받은 자료에 따르면 각 지방병무청은 병역 검사 
대기 시간 외부 기관 등의 요청에 따라 홍보 영상을 상영하나 기준이 없다.  경인청은 병역 진로 설계, 마약, 청년문화예술 패스 등 "&amp;"9개 영상을 상영했으나 광주전남청과 강원청은 1개 영상만 틀었다.  특히 뇌전증 위장 등 지능형 병역면탈 범죄가 잇따라 적발돼 사회적 파장을 일으키는 데도 청년 인구가 많은 서울청, 경인청, 인천청, 
부산울산청 등은 관련 예방 교육 영상을 단 한 차례도 상영하지 않았다.  14개 지방청 중 면탈 예방 교육을 진행하는 곳은 대구경북, 대전충남, 충북, 전북 등 4개 청에 불과했다.  김 의원은 ""국가가 청년들을 강제로 소집했다면 그 아까운 대기시간에 "&amp;"잡다한 외부 기관 홍보물을 틀 것이 아니라 청년들의 인생을 바꿀 
내실 있는 콘텐츠를 제공해야 한다""고 지적했다. [연합뉴스 자료사진]  kyoon@yna.co.kr 제보는 카카오톡 okjebo &lt;저작권자(c) 연합뉴스, 무단 전재-재배포, AI 학습 및 활용 금지&gt; 2026/10/12 11:29 송고2026년10월12일 11시29분 송고")</f>
        <v xml:space="preserve"> (남양주=연합뉴스) 김도윤 기자 = 각 지방병무청이 병역 검사 대기 시간에 진행하는 교육 시간과 내용이 제각각인 데다 병역 면탈 예방 
교육은 14곳 중 4곳만 진행하는 것으로 나타났다.  12일 국회 국방위원회 소속 더불어민주당 김병주(남양주을) 의원이 병무청으로부터 제출받은 자료에 따르면 각 지방병무청은 병역 검사 
대기 시간 외부 기관 등의 요청에 따라 홍보 영상을 상영하나 기준이 없다.  경인청은 병역 진로 설계, 마약, 청년문화예술 패스 등 9개 영상을 상영했으나 광주전남청과 강원청은 1개 영상만 틀었다.  특히 뇌전증 위장 등 지능형 병역면탈 범죄가 잇따라 적발돼 사회적 파장을 일으키는 데도 청년 인구가 많은 서울청, 경인청, 인천청, 
부산울산청 등은 관련 예방 교육 영상을 단 한 차례도 상영하지 않았다.  14개 지방청 중 면탈 예방 교육을 진행하는 곳은 대구경북, 대전충남, 충북, 전북 등 4개 청에 불과했다.  김 의원은 "국가가 청년들을 강제로 소집했다면 그 아까운 대기시간에 잡다한 외부 기관 홍보물을 틀 것이 아니라 청년들의 인생을 바꿀 
내실 있는 콘텐츠를 제공해야 한다"고 지적했다. [연합뉴스 자료사진]  kyoon@yna.co.kr 제보는 카카오톡 okjebo &lt;저작권자(c) 연합뉴스, 무단 전재-재배포, AI 학습 및 활용 금지&gt; 2026/10/12 11:29 송고2026년10월12일 11시29분 송고</v>
      </c>
    </row>
    <row r="16" spans="1:6" x14ac:dyDescent="0.2">
      <c r="D16" s="3" t="str">
        <f ca="1">IFERROR(__xludf.DUMMYFUNCTION("""COMPUTED_VALUE"""),"한발로 위태하게 선 장병…'지뢰폭발 정쟁 비판' 공익광고")</f>
        <v>한발로 위태하게 선 장병…'지뢰폭발 정쟁 비판' 공익광고</v>
      </c>
      <c r="E16" s="4" t="str">
        <f ca="1">IFERROR(__xludf.DUMMYFUNCTION("""COMPUTED_VALUE"""),"https://www.yna.co.kr/view/AKR20261012079000504?section=politics/all")</f>
        <v>https://www.yna.co.kr/view/AKR20261012079000504?section=politics/all</v>
      </c>
      <c r="F16" s="3" t="str">
        <f ca="1">IFERROR(__xludf.DUMMYFUNCTION("TEXTJOIN("" "", TRUE, IMPORTXML(E16, ""//*[@id='articleWrap']//p""))"),"(서울=연합뉴스) 공익광고 전문가 이제석씨가 운영하는 '이제석 광고연구소'는 지난 10∼11일 김포·파주 일대 군사접경지역과 국방부 
인접 용산공원 일대에서 지뢰 피해 이후 정치권의 후속 대응을 비판하는 취지의 게릴라 캠페인을 진행했다고 12일 밝혔다. [이제석 
광고연구소 제공. 재판매 및 DB 금지]  (서울=연합뉴스) 윤보람 기자 = 비무장지대(DMZ)의 북한 지뢰 폭발 이후 과도한 정쟁으로 군 장병의 안전과 재발 방지 대책 관련 
논의가 부재하다"&amp;"고 고발하는 내용의 민간 공익광고가 등장했다.  공익광고 전문가 이제석씨가 운영하는 '이제석 광고연구소'는 지난 10∼11일 김포·파주 일대 군사접경지역과 국방부 인접 용산공원 
일대에서 지뢰 피해 이후 정치권의 후속 대응을 비판하는 취지의 게릴라 캠페인을 진행했다고 12일 밝혔다.  광고는 군복을 입은 수색 장병이 한쪽 다리에 심각한 상처를 입은 채 나머지 한쪽 다리로 위태롭게 버티고 서 있는 모습을 표현했다.  명확한 지휘 체계의 필요성에 공감하는 "&amp;"전직 직업 군인들과 함께 기획했다고 한다.  이씨는 ""외부의 군사적 위협으로 우리 장병이 심각한 부상을 입었음에도 국내에서는 사고의 책임을 둘러싼 정치적 공방과 진영 간 갈등이 
격화하는 현실에 대한 문제의식에서 출발했다""면서 ""'외다리'는 지뢰 폭발로 다친 장병의 실제 신체와, 정치적 대립으로 균형 있게 앞으로 
나아가지 못하는 대한민국의 안보 현실이란 두 가지 의미로 사용했다""고 설명했다.  일각에서는 광고 속 군 장병의 모습을 두고 취지와 "&amp;"달리 심각한 부상을 입힐 수 있는 지뢰 피해를 지나치게 가볍게 표현한 게 아니냐는 
지적도 나온다.  이씨는 ""해당 광고판은 테스트용 샘플로, 향후 지뢰 피해의 위험성을 알리는 목적으로 개작할 계획""이라고 말했다.  bryoon@yna.co.kr 제보는 카카오톡 okjebo &lt;저작권자(c) 연합뉴스, 무단 전재-재배포, AI 학습 및 활용 금지&gt; 2026/10/12 11:27 송고2026년10월12일 11시27분 송고")</f>
        <v>(서울=연합뉴스) 공익광고 전문가 이제석씨가 운영하는 '이제석 광고연구소'는 지난 10∼11일 김포·파주 일대 군사접경지역과 국방부 
인접 용산공원 일대에서 지뢰 피해 이후 정치권의 후속 대응을 비판하는 취지의 게릴라 캠페인을 진행했다고 12일 밝혔다. [이제석 
광고연구소 제공. 재판매 및 DB 금지]  (서울=연합뉴스) 윤보람 기자 = 비무장지대(DMZ)의 북한 지뢰 폭발 이후 과도한 정쟁으로 군 장병의 안전과 재발 방지 대책 관련 
논의가 부재하다고 고발하는 내용의 민간 공익광고가 등장했다.  공익광고 전문가 이제석씨가 운영하는 '이제석 광고연구소'는 지난 10∼11일 김포·파주 일대 군사접경지역과 국방부 인접 용산공원 
일대에서 지뢰 피해 이후 정치권의 후속 대응을 비판하는 취지의 게릴라 캠페인을 진행했다고 12일 밝혔다.  광고는 군복을 입은 수색 장병이 한쪽 다리에 심각한 상처를 입은 채 나머지 한쪽 다리로 위태롭게 버티고 서 있는 모습을 표현했다.  명확한 지휘 체계의 필요성에 공감하는 전직 직업 군인들과 함께 기획했다고 한다.  이씨는 "외부의 군사적 위협으로 우리 장병이 심각한 부상을 입었음에도 국내에서는 사고의 책임을 둘러싼 정치적 공방과 진영 간 갈등이 
격화하는 현실에 대한 문제의식에서 출발했다"면서 "'외다리'는 지뢰 폭발로 다친 장병의 실제 신체와, 정치적 대립으로 균형 있게 앞으로 
나아가지 못하는 대한민국의 안보 현실이란 두 가지 의미로 사용했다"고 설명했다.  일각에서는 광고 속 군 장병의 모습을 두고 취지와 달리 심각한 부상을 입힐 수 있는 지뢰 피해를 지나치게 가볍게 표현한 게 아니냐는 
지적도 나온다.  이씨는 "해당 광고판은 테스트용 샘플로, 향후 지뢰 피해의 위험성을 알리는 목적으로 개작할 계획"이라고 말했다.  bryoon@yna.co.kr 제보는 카카오톡 okjebo &lt;저작권자(c) 연합뉴스, 무단 전재-재배포, AI 학습 및 활용 금지&gt; 2026/10/12 11:27 송고2026년10월12일 11시27분 송고</v>
      </c>
    </row>
    <row r="17" spans="4:6" x14ac:dyDescent="0.2">
      <c r="D17" s="3" t="str">
        <f ca="1">IFERROR(__xludf.DUMMYFUNCTION("""COMPUTED_VALUE"""),"농해수위 국감서 4개 항만공사 통합 우려 제기…""여론 무시""")</f>
        <v>농해수위 국감서 4개 항만공사 통합 우려 제기…"여론 무시"</v>
      </c>
      <c r="E17" s="4" t="str">
        <f ca="1">IFERROR(__xludf.DUMMYFUNCTION("""COMPUTED_VALUE"""),"https://www.yna.co.kr/view/AKR20261012077700051?section=politics/all")</f>
        <v>https://www.yna.co.kr/view/AKR20261012077700051?section=politics/all</v>
      </c>
      <c r="F17" s="3" t="str">
        <f ca="1">IFERROR(__xludf.DUMMYFUNCTION("TEXTJOIN("" "", TRUE, IMPORTXML(E17, ""//*[@id='articleWrap']//p""))"),"[연합뉴스 자료사진. 재판매 및 DB 금지]  (부산=연합뉴스) 이영재 박성제 기자 = 12일 부산 해양수산부 청사에서 열린 국회 농림축산식품해양수산위원회 국정감사에서는 정부가 
추진 중인 부산·울산·인천·여수광양 항만공사 통합 문제가 도마 위에 올랐다.  국민의힘 조승환 의원은 ""과거 정부에서도 항만공사 통합 논의가 있었으나 4대 항만공사의 독립적 운영 효과가 큰 것으로 입증됐다""며 
""(현 정부에서는) 통합 계획이나 일정이 전혀 오픈된 바 없다"&amp;"""고 지적했다.  조 의원은 정부의 농지 전수조사를 거론하며 ""항만공사 통합도 이재명 대통령과 그 측근의 생각과 정치적 이해관계에 이용된, 지역 
여론이나 항만공사 의견이 철저히 무시된 이재명 정부의 독재 정책이라고 생각한다""고 강도 높게 비판했다.  더불어민주당 주철현 의원도 ""세계적으로도 항만공사는 지역별로 독자적으로 운영되는 게 일반적""이라며 ""해수부가 부산으로 이전해 해양 
관련 집중이 심화하는 게 문제인데, 항만공사가 통합되면 해양과"&amp;" 관련해 부산의 일극 체제가 고착된다는 걱정이 많다""고 지적했다.  이에 대해 황종우 해수부 장관은 ""공공기관 통합 방안과 항만공사 설립 취지 등을 모두 감안해 (통합안을) 마련하고 있다""고 답했다.  이날 국감에서는 부산 북항 친수공원 인공 수로에 들어와 장기 체류 중인 상어 '부캉이' 관리 문제도 거론됐다.  조승환 의원은 ""부캉이가 수로에 들어온 이유, 상어의 생태 환경에 대한 연구를 확대하고 난류성 포식 어종에 대한 관리와 주민 안전에 
"&amp;"대한 대책이 필요하다""며 ""구조 매뉴얼을 지금이라도 만들어야 한다고 생각한다""고 제안했다.  ljglory@yna.co.kr 제보는 카카오톡 okjebo &lt;저작권자(c) 연합뉴스, 무단 전재-재배포, AI 학습 및 활용 금지&gt; 2026/10/12 11:26 송고2026년10월12일 11시26분 송고")</f>
        <v>[연합뉴스 자료사진. 재판매 및 DB 금지]  (부산=연합뉴스) 이영재 박성제 기자 = 12일 부산 해양수산부 청사에서 열린 국회 농림축산식품해양수산위원회 국정감사에서는 정부가 
추진 중인 부산·울산·인천·여수광양 항만공사 통합 문제가 도마 위에 올랐다.  국민의힘 조승환 의원은 "과거 정부에서도 항만공사 통합 논의가 있었으나 4대 항만공사의 독립적 운영 효과가 큰 것으로 입증됐다"며 
"(현 정부에서는) 통합 계획이나 일정이 전혀 오픈된 바 없다"고 지적했다.  조 의원은 정부의 농지 전수조사를 거론하며 "항만공사 통합도 이재명 대통령과 그 측근의 생각과 정치적 이해관계에 이용된, 지역 
여론이나 항만공사 의견이 철저히 무시된 이재명 정부의 독재 정책이라고 생각한다"고 강도 높게 비판했다.  더불어민주당 주철현 의원도 "세계적으로도 항만공사는 지역별로 독자적으로 운영되는 게 일반적"이라며 "해수부가 부산으로 이전해 해양 
관련 집중이 심화하는 게 문제인데, 항만공사가 통합되면 해양과 관련해 부산의 일극 체제가 고착된다는 걱정이 많다"고 지적했다.  이에 대해 황종우 해수부 장관은 "공공기관 통합 방안과 항만공사 설립 취지 등을 모두 감안해 (통합안을) 마련하고 있다"고 답했다.  이날 국감에서는 부산 북항 친수공원 인공 수로에 들어와 장기 체류 중인 상어 '부캉이' 관리 문제도 거론됐다.  조승환 의원은 "부캉이가 수로에 들어온 이유, 상어의 생태 환경에 대한 연구를 확대하고 난류성 포식 어종에 대한 관리와 주민 안전에 
대한 대책이 필요하다"며 "구조 매뉴얼을 지금이라도 만들어야 한다고 생각한다"고 제안했다.  ljglory@yna.co.kr 제보는 카카오톡 okjebo &lt;저작권자(c) 연합뉴스, 무단 전재-재배포, AI 학습 및 활용 금지&gt; 2026/10/12 11:26 송고2026년10월12일 11시26분 송고</v>
      </c>
    </row>
    <row r="18" spans="4:6" x14ac:dyDescent="0.2">
      <c r="D18" s="3" t="str">
        <f ca="1">IFERROR(__xludf.DUMMYFUNCTION("""COMPUTED_VALUE"""),"여야 '공정위 현장조사 불복' 쿠팡에 한목소리 비판…""안하무인""")</f>
        <v>여야 '공정위 현장조사 불복' 쿠팡에 한목소리 비판…"안하무인"</v>
      </c>
      <c r="E18" s="4" t="str">
        <f ca="1">IFERROR(__xludf.DUMMYFUNCTION("""COMPUTED_VALUE"""),"https://www.yna.co.kr/view/AKR20261012070900001?section=politics/all")</f>
        <v>https://www.yna.co.kr/view/AKR20261012070900001?section=politics/all</v>
      </c>
      <c r="F18" s="3" t="str">
        <f ca="1">IFERROR(__xludf.DUMMYFUNCTION("TEXTJOIN("" "", TRUE, IMPORTXML(E18, ""//*[@id='articleWrap']//p""))"),"(서울=연합뉴스) 배재만 기자 = 주병기 공정거래위원장이 12일 국회에서 열린 정무위원회 국정감사에서 증인 선서를 하고 있다. 
2026.10.12 scoop@yna.co.kr  (서울=연합뉴스) 안정훈 기자 = 여야는 12일 국회 정무위원회 국정감사에서 공정위의 현장조사에 불복한 쿠팡을 한목소리로 비판했다.  더불어민주당 민병덕 의원은 이날 공정거래위원회 등을 대상으로 한 국정감사에서 ""대한민국 공권력에 대해서 쿠팡이 이런 태도를 보이는 
것에 대해"&amp;"서 '그냥 둬야 하나'라는 의문이 있다""고 말했다.  그러면서 ""공정위의 법 집행을 무시하는 안하무인격 태도를 보이면 다른 유통사도 똑같은 태도를 보일 것""이라며 ""정무위 차원의 
결의문이나 위원장, 여야 간사의 논평이라도 내 국회에서 엄중하게 보고 있다고 보여줘야 한다""고 촉구했다.  국민의힘 박성훈 의원도 ""대규모유통업법 시행 이후에 기업이 거부해 공정위 현장 조사가 무산된 것은 처음""이라고 지적했다.  이어 ""쿠팡이 국내에서 엄청난 "&amp;"이익과 온갖 혜택을 얻어 가고 있음에도 불구하고 불리할 때만 미국 기업이라는 방패 뒤에 숨어서 책임을 
다하려고 하고 있지 않다""고 덧붙였다.  국회 정무위원장인 더불어민주당 유동수 의원도 ""필요하다면 입법적 부분도 탄탄히 해 절차의 정당성을 확보할 수 있게 해야 한다""라며 
""(쿠팡 측이 현장조사에 앞서 공정위에) 증거인멸 우려를 입증하라는 등 이런 내용을 주장할 수 없도록 입법도 한 번 검토해볼 필요가 
있잖나""고 말했다.  앞서 쿠팡은 지"&amp;"난 8월 대규모유통업법 위반 의혹과 관련한 공정위의 현장조사에 불응해 취소 소송과 함께 집행정지 신청을 낸 바 있다.  이에 서울고법은 지난달 ""현재로서는 현장조사 결정으로 신청인(쿠팡)에게 발생할 불이익에 비해 그 효력 정지가 공공복리에 미칠 영향이 
더 크다""며 쿠팡의 집행정지 신청을 기각했다.  hug@yna.co.kr 제보는 카카오톡 okjebo &lt;저작권자(c) 연합뉴스, 무단 전재-재배포, AI 학습 및 활용 금지&gt; 2026/10/12 11"&amp;":25 송고2026년10월12일 11시25분 송고")</f>
        <v>(서울=연합뉴스) 배재만 기자 = 주병기 공정거래위원장이 12일 국회에서 열린 정무위원회 국정감사에서 증인 선서를 하고 있다. 
2026.10.12 scoop@yna.co.kr  (서울=연합뉴스) 안정훈 기자 = 여야는 12일 국회 정무위원회 국정감사에서 공정위의 현장조사에 불복한 쿠팡을 한목소리로 비판했다.  더불어민주당 민병덕 의원은 이날 공정거래위원회 등을 대상으로 한 국정감사에서 "대한민국 공권력에 대해서 쿠팡이 이런 태도를 보이는 
것에 대해서 '그냥 둬야 하나'라는 의문이 있다"고 말했다.  그러면서 "공정위의 법 집행을 무시하는 안하무인격 태도를 보이면 다른 유통사도 똑같은 태도를 보일 것"이라며 "정무위 차원의 
결의문이나 위원장, 여야 간사의 논평이라도 내 국회에서 엄중하게 보고 있다고 보여줘야 한다"고 촉구했다.  국민의힘 박성훈 의원도 "대규모유통업법 시행 이후에 기업이 거부해 공정위 현장 조사가 무산된 것은 처음"이라고 지적했다.  이어 "쿠팡이 국내에서 엄청난 이익과 온갖 혜택을 얻어 가고 있음에도 불구하고 불리할 때만 미국 기업이라는 방패 뒤에 숨어서 책임을 
다하려고 하고 있지 않다"고 덧붙였다.  국회 정무위원장인 더불어민주당 유동수 의원도 "필요하다면 입법적 부분도 탄탄히 해 절차의 정당성을 확보할 수 있게 해야 한다"라며 
"(쿠팡 측이 현장조사에 앞서 공정위에) 증거인멸 우려를 입증하라는 등 이런 내용을 주장할 수 없도록 입법도 한 번 검토해볼 필요가 
있잖나"고 말했다.  앞서 쿠팡은 지난 8월 대규모유통업법 위반 의혹과 관련한 공정위의 현장조사에 불응해 취소 소송과 함께 집행정지 신청을 낸 바 있다.  이에 서울고법은 지난달 "현재로서는 현장조사 결정으로 신청인(쿠팡)에게 발생할 불이익에 비해 그 효력 정지가 공공복리에 미칠 영향이 
더 크다"며 쿠팡의 집행정지 신청을 기각했다.  hug@yna.co.kr 제보는 카카오톡 okjebo &lt;저작권자(c) 연합뉴스, 무단 전재-재배포, AI 학습 및 활용 금지&gt; 2026/10/12 11:25 송고2026년10월12일 11시25분 송고</v>
      </c>
    </row>
    <row r="19" spans="4:6" x14ac:dyDescent="0.2">
      <c r="D19" s="3" t="str">
        <f ca="1">IFERROR(__xludf.DUMMYFUNCTION("""COMPUTED_VALUE"""),"대교협 회장, '수시 먹통'에 ""재발 않도록 원서접수 시스템 강화""")</f>
        <v>대교협 회장, '수시 먹통'에 "재발 않도록 원서접수 시스템 강화"</v>
      </c>
      <c r="E19" s="4" t="str">
        <f ca="1">IFERROR(__xludf.DUMMYFUNCTION("""COMPUTED_VALUE"""),"https://www.yna.co.kr/view/AKR20261012073000530?section=politics/all")</f>
        <v>https://www.yna.co.kr/view/AKR20261012073000530?section=politics/all</v>
      </c>
      <c r="F19" s="3" t="str">
        <f ca="1">IFERROR(__xludf.DUMMYFUNCTION("TEXTJOIN("" "", TRUE, IMPORTXML(E19, ""//*[@id='articleWrap']//p""))"),"[한국대학교육협의회 홈페이지 캡처. 재판매 및 DB 금지]  (서울=연합뉴스) 노재현 기자 = 이기정 한국대학교육협의회(대교협) 회장은 12일 2027학년도 수시모집 원서접수 과정에서 발생한 
'먹통 사태'와 관련해 ""이러한 일이 다시 발생하지 않도록 원서접수 시스템의 안정성과 관리 체계 강화를 위해 노력하겠다""고 밝혔다.  이 회장은 이날 국회 교육위원회의 대교협 등에 대한 국정감사에서 ""대학입학전형 업무를 수행하는 기관으로서 이번 사안을 매우 "&amp;"무겁게 
받아들이고 있다""며 이같이 말했다.  그는 ""현재 교육부, 한국사학진흥재단과 함께 특별조사를 실시하고 있으며, 정시모집에 대비한 전담 TF도 운영하고 있다""며 ""조사 
결과를 바탕으로 시스템 사전점검, 장애 대응 매뉴얼, 경쟁률 공개 가이드라인과 수험번호 체계 등을 전반적으로 점검하고 보완하겠다""고 
강조했다.  아울러 ""대교협은 장애 발생 즉시 교육부에 상황을 보고하고, 수험생의 지원 기회를 보호하기 위해 원서접수 마감시간을 연장했"&amp;"다""며 
""이후 객관적인 전산기록을 바탕으로 구제방안을 마련하여 구제 대상으로 확인된 414건 가운데 354건이 최종적으로 원서접수를 
완료했다""고 설명했다.  앞서 지난달 11일 오후 5시50분께 유웨이어플라이의 접수 시스템에서 오류가 나타났고 일부 수험생이 정상적으로 원서 접수 및 결제를 
완료하지 못하는 상황이 발생했다.  이에 대교협은 원서 접수 마감 시각을 오후 6시에서 오후 7시로 늦췄지만, 일부 수험생은 연장 안내를 확인하지 못하는 등"&amp;" 혼란이 
빚어졌다.  nojae@yna.co.kr 제보는 카카오톡 okjebo &lt;저작권자(c) 연합뉴스, 무단 전재-재배포, AI 학습 및 활용 금지&gt; 2026/10/12 11:24 송고2026년10월12일 11시24분 송고")</f>
        <v>[한국대학교육협의회 홈페이지 캡처. 재판매 및 DB 금지]  (서울=연합뉴스) 노재현 기자 = 이기정 한국대학교육협의회(대교협) 회장은 12일 2027학년도 수시모집 원서접수 과정에서 발생한 
'먹통 사태'와 관련해 "이러한 일이 다시 발생하지 않도록 원서접수 시스템의 안정성과 관리 체계 강화를 위해 노력하겠다"고 밝혔다.  이 회장은 이날 국회 교육위원회의 대교협 등에 대한 국정감사에서 "대학입학전형 업무를 수행하는 기관으로서 이번 사안을 매우 무겁게 
받아들이고 있다"며 이같이 말했다.  그는 "현재 교육부, 한국사학진흥재단과 함께 특별조사를 실시하고 있으며, 정시모집에 대비한 전담 TF도 운영하고 있다"며 "조사 
결과를 바탕으로 시스템 사전점검, 장애 대응 매뉴얼, 경쟁률 공개 가이드라인과 수험번호 체계 등을 전반적으로 점검하고 보완하겠다"고 
강조했다.  아울러 "대교협은 장애 발생 즉시 교육부에 상황을 보고하고, 수험생의 지원 기회를 보호하기 위해 원서접수 마감시간을 연장했다"며 
"이후 객관적인 전산기록을 바탕으로 구제방안을 마련하여 구제 대상으로 확인된 414건 가운데 354건이 최종적으로 원서접수를 
완료했다"고 설명했다.  앞서 지난달 11일 오후 5시50분께 유웨이어플라이의 접수 시스템에서 오류가 나타났고 일부 수험생이 정상적으로 원서 접수 및 결제를 
완료하지 못하는 상황이 발생했다.  이에 대교협은 원서 접수 마감 시각을 오후 6시에서 오후 7시로 늦췄지만, 일부 수험생은 연장 안내를 확인하지 못하는 등 혼란이 
빚어졌다.  nojae@yna.co.kr 제보는 카카오톡 okjebo &lt;저작권자(c) 연합뉴스, 무단 전재-재배포, AI 학습 및 활용 금지&gt; 2026/10/12 11:24 송고2026년10월12일 11시24분 송고</v>
      </c>
    </row>
    <row r="20" spans="4:6" x14ac:dyDescent="0.2">
      <c r="D20" s="3" t="str">
        <f ca="1">IFERROR(__xludf.DUMMYFUNCTION("""COMPUTED_VALUE"""),"[영상] 찾지 않고 폭발로 길 낸다…튀르키예 지뢰개척장비 첫 수출")</f>
        <v>[영상] 찾지 않고 폭발로 길 낸다…튀르키예 지뢰개척장비 첫 수출</v>
      </c>
      <c r="E20" s="4" t="str">
        <f ca="1">IFERROR(__xludf.DUMMYFUNCTION("""COMPUTED_VALUE"""),"https://www.yna.co.kr/view/AKR20261012068500704?section=politics/all")</f>
        <v>https://www.yna.co.kr/view/AKR20261012068500704?section=politics/all</v>
      </c>
      <c r="F20" s="3" t="str">
        <f ca="1">IFERROR(__xludf.DUMMYFUNCTION("TEXTJOIN("" "", TRUE, IMPORTXML(E20, ""//*[@id='articleWrap']//p""))")," (서울=연합뉴스) 튀르키예가 지뢰밭 위에 폭약을 길게 펼쳐 한꺼번에 폭발시키는 지뢰지대 통로 개척체계 '알파이-I'(ALPAY-I)를 
처음 수출했습니다.  튀르키예 현지 매체 톨가 외즈베크와 튀르크인폼은 지난 10일(현지시간) 국영 방산업체 MKE가 이번 주 알파이-I의 리투아니아 인도를 
완료했다고 보도했습니다.  이번 인도는 알파이-I의 첫 해외 수출입니다. 다만 계약 체결 시점과 수출 수량, 금액은 공개되지 않았습니다.  MKE가 지난해 12월"&amp;" 공개한 시연 영상에는 발사대에서 로켓이 긴 폭약 줄을 끌고 날아가는 모습이 담겼습니다.  폭약 줄이 지뢰지대 위에 길게 펼쳐진 뒤 원격으로 폭발하면서 거대한 화염과 흙먼지가 일대를 뒤덮습니다.  알파이-I는 지뢰를 하나씩 찾아 제거하는 장비가 아닙니다. 폭약을 연결한 긴 줄을 지뢰밭에 펼친 뒤 폭발 충격으로 매설된 지뢰를 
터뜨리거나 무력화해 병력과 차량이 지나갈 길을 만드는 체계입니다.  로켓은 폭약 줄을 발사 지점에서 약 200ｍ 떨어진 곳까지 운"&amp;"반합니다. 이후 약 400㎏의 C-4 폭약을 터뜨리면 폭 10ｍ, 길이 
100ｍ 규모의 통로를 개척할 수 있습니다.  현지 보도에 따르면 지표면 아래 최대 1ｍ 깊이에 있는 대전차지뢰와 대인지뢰에 대응할 수 있으며, 제조사가 밝힌 지뢰 제거 신뢰도는 
99%입니다.  바퀴가 달린 견인식 장비로 장갑차와 전차, 트럭 등이 끌 수 있습니다. 운용요원 2명이 약 15분 만에 발사 준비를 마칠 수 있으며 
다양한 기상 조건에서 운용하도록 설계됐습니다.  알파"&amp;"이-I는 튀르키예군이 국경과 지뢰 위협 지역에서 운용해온 것으로 전해졌습니다.  제작 : 전석우·최주리  영상 : 로이터·유튜브 MKE·사이트 TURKINFORM  jujitsusw@yna.co.kr 제보는 카카오톡 okjebo &lt;저작권자(c) 연합뉴스, 무단 전재-재배포, AI 학습 및 활용 금지&gt; 2026/10/12 11:15 송고2026년10월12일 11시15분 송고")</f>
        <v xml:space="preserve"> (서울=연합뉴스) 튀르키예가 지뢰밭 위에 폭약을 길게 펼쳐 한꺼번에 폭발시키는 지뢰지대 통로 개척체계 '알파이-I'(ALPAY-I)를 
처음 수출했습니다.  튀르키예 현지 매체 톨가 외즈베크와 튀르크인폼은 지난 10일(현지시간) 국영 방산업체 MKE가 이번 주 알파이-I의 리투아니아 인도를 
완료했다고 보도했습니다.  이번 인도는 알파이-I의 첫 해외 수출입니다. 다만 계약 체결 시점과 수출 수량, 금액은 공개되지 않았습니다.  MKE가 지난해 12월 공개한 시연 영상에는 발사대에서 로켓이 긴 폭약 줄을 끌고 날아가는 모습이 담겼습니다.  폭약 줄이 지뢰지대 위에 길게 펼쳐진 뒤 원격으로 폭발하면서 거대한 화염과 흙먼지가 일대를 뒤덮습니다.  알파이-I는 지뢰를 하나씩 찾아 제거하는 장비가 아닙니다. 폭약을 연결한 긴 줄을 지뢰밭에 펼친 뒤 폭발 충격으로 매설된 지뢰를 
터뜨리거나 무력화해 병력과 차량이 지나갈 길을 만드는 체계입니다.  로켓은 폭약 줄을 발사 지점에서 약 200ｍ 떨어진 곳까지 운반합니다. 이후 약 400㎏의 C-4 폭약을 터뜨리면 폭 10ｍ, 길이 
100ｍ 규모의 통로를 개척할 수 있습니다.  현지 보도에 따르면 지표면 아래 최대 1ｍ 깊이에 있는 대전차지뢰와 대인지뢰에 대응할 수 있으며, 제조사가 밝힌 지뢰 제거 신뢰도는 
99%입니다.  바퀴가 달린 견인식 장비로 장갑차와 전차, 트럭 등이 끌 수 있습니다. 운용요원 2명이 약 15분 만에 발사 준비를 마칠 수 있으며 
다양한 기상 조건에서 운용하도록 설계됐습니다.  알파이-I는 튀르키예군이 국경과 지뢰 위협 지역에서 운용해온 것으로 전해졌습니다.  제작 : 전석우·최주리  영상 : 로이터·유튜브 MKE·사이트 TURKINFORM  jujitsusw@yna.co.kr 제보는 카카오톡 okjebo &lt;저작권자(c) 연합뉴스, 무단 전재-재배포, AI 학습 및 활용 금지&gt; 2026/10/12 11:15 송고2026년10월12일 11시15분 송고</v>
      </c>
    </row>
    <row r="21" spans="4:6" x14ac:dyDescent="0.2">
      <c r="D21" s="3" t="str">
        <f ca="1">IFERROR(__xludf.DUMMYFUNCTION("""COMPUTED_VALUE"""),"개혁신당도 '李대통령 사고때 골프' 협공…""골프채 몇개인가""")</f>
        <v>개혁신당도 '李대통령 사고때 골프' 협공…"골프채 몇개인가"</v>
      </c>
      <c r="E21" s="4" t="str">
        <f ca="1">IFERROR(__xludf.DUMMYFUNCTION("""COMPUTED_VALUE"""),"https://www.yna.co.kr/view/AKR20261012071600001?section=politics/all")</f>
        <v>https://www.yna.co.kr/view/AKR20261012071600001?section=politics/all</v>
      </c>
      <c r="F21" s="3" t="str">
        <f ca="1">IFERROR(__xludf.DUMMYFUNCTION("TEXTJOIN("" "", TRUE, IMPORTXML(E21, ""//*[@id='articleWrap']//p""))"),"(서울=연합뉴스) 황광모 기자 = 개혁신당 이기인 비상대책위원장이 8일 국회에서 열린 비대위 회의에서 발언하고 있다. 2026.10.8 
hkmpooh@yna.co.kr  (서울=연합뉴스) 권희원 기자 = 개혁신당은 12일 이재명 대통령이 지난 10일 대구 상가 천장 붕괴 사고 당시 골프장에 있었던 것과 
관련, ""국민의 안전이 걸린 순간에는 골프채는 내려놓으라""며 야권의 공세에 가세했다.  개혁신당 이기인 비상대책위원장은 이날 오전 비상대책위원회의"&amp;"에서 ""고(故) 김문기 씨와의 골프는 부인하고 윤석열의 골프는 '황제골프'라 
비판하더니, 이제 본인의 골프에는 '국익'이라는 명분이 붙는다""며 ""대체 몇 개의 골프채를 갖고 계시냐""고 비판했다.  이어 ""외교를 위한 골프가 필요하다면 윤 대통령에게도, 이재명 대통령에게도 같은 기준으로 인정돼야 한다""며 ""동시에 어느 대통령도 
외교를 이유로 재난 대응의 책임을 면제받을 수는 없다""고 강조했다.  이 위원장은 ""현장에서 보고를 받았다고 "&amp;"하는데, 그렇다면 언제 어떤 보고를 받고 무엇을 조치했으며 이후 어떤 점검을 했는지 밝히라""며 
""과거의 이재명 대표가 지금의 이재명 대통령을 봤다면 누구보다 먼저 그 책임을 물었을 것""이라고 비꼬았다.  한편 이 위원장은 천하람 원내대표의 2028년 총선 경기 남부 지역 출마 여부가 이달 내로 결정될 것으로 예상한다고 밝혔다.  이 위원장은 회의 종료 후 취재진을 만나 ""10월 안에 결정을 내려야 한다는 것은 본인도 동의하는 부분""이라며 """&amp;"천 원내대표와 수시로 
소통하고 있고, 비대위에 직접 나와 경기 남부 거점 전략에 대해 의견을 표명할 의지가 있는 것으로 안다""고 말했다.  hee1@yna.co.kr 제보는 카카오톡 okjebo &lt;저작권자(c) 연합뉴스, 무단 전재-재배포, AI 학습 및 활용 금지&gt; 2026/10/12 11:08 송고2026년10월12일 11시08분 송고")</f>
        <v>(서울=연합뉴스) 황광모 기자 = 개혁신당 이기인 비상대책위원장이 8일 국회에서 열린 비대위 회의에서 발언하고 있다. 2026.10.8 
hkmpooh@yna.co.kr  (서울=연합뉴스) 권희원 기자 = 개혁신당은 12일 이재명 대통령이 지난 10일 대구 상가 천장 붕괴 사고 당시 골프장에 있었던 것과 
관련, "국민의 안전이 걸린 순간에는 골프채는 내려놓으라"며 야권의 공세에 가세했다.  개혁신당 이기인 비상대책위원장은 이날 오전 비상대책위원회의에서 "고(故) 김문기 씨와의 골프는 부인하고 윤석열의 골프는 '황제골프'라 
비판하더니, 이제 본인의 골프에는 '국익'이라는 명분이 붙는다"며 "대체 몇 개의 골프채를 갖고 계시냐"고 비판했다.  이어 "외교를 위한 골프가 필요하다면 윤 대통령에게도, 이재명 대통령에게도 같은 기준으로 인정돼야 한다"며 "동시에 어느 대통령도 
외교를 이유로 재난 대응의 책임을 면제받을 수는 없다"고 강조했다.  이 위원장은 "현장에서 보고를 받았다고 하는데, 그렇다면 언제 어떤 보고를 받고 무엇을 조치했으며 이후 어떤 점검을 했는지 밝히라"며 
"과거의 이재명 대표가 지금의 이재명 대통령을 봤다면 누구보다 먼저 그 책임을 물었을 것"이라고 비꼬았다.  한편 이 위원장은 천하람 원내대표의 2028년 총선 경기 남부 지역 출마 여부가 이달 내로 결정될 것으로 예상한다고 밝혔다.  이 위원장은 회의 종료 후 취재진을 만나 "10월 안에 결정을 내려야 한다는 것은 본인도 동의하는 부분"이라며 "천 원내대표와 수시로 
소통하고 있고, 비대위에 직접 나와 경기 남부 거점 전략에 대해 의견을 표명할 의지가 있는 것으로 안다"고 말했다.  hee1@yna.co.kr 제보는 카카오톡 okjebo &lt;저작권자(c) 연합뉴스, 무단 전재-재배포, AI 학습 및 활용 금지&gt; 2026/10/12 11:08 송고2026년10월12일 11시08분 송고</v>
      </c>
    </row>
    <row r="22" spans="4:6" x14ac:dyDescent="0.2">
      <c r="D22" s="3" t="str">
        <f ca="1">IFERROR(__xludf.DUMMYFUNCTION("""COMPUTED_VALUE"""),"방미심위원장 ""딥페이크 성범죄·불법정보 신속 대응""")</f>
        <v>방미심위원장 "딥페이크 성범죄·불법정보 신속 대응"</v>
      </c>
      <c r="E22" s="4" t="str">
        <f ca="1">IFERROR(__xludf.DUMMYFUNCTION("""COMPUTED_VALUE"""),"https://www.yna.co.kr/view/AKR20261012068400017?section=politics/all")</f>
        <v>https://www.yna.co.kr/view/AKR20261012068400017?section=politics/all</v>
      </c>
      <c r="F22" s="3" t="str">
        <f ca="1">IFERROR(__xludf.DUMMYFUNCTION("TEXTJOIN("" "", TRUE, IMPORTXML(E22, ""//*[@id='articleWrap']//p""))"),"[연합뉴스 자료사진]  (서울=연합뉴스) 유현민 기자 = 고광헌 방송미디어통신심의위원장은 12일 디지털성범죄와 마약·도박·불법금융 등 불법·유해정보에 
신속하고 실효적으로 대응하겠다고 밝혔다.  고 위원장은 이날 국회 과학기술정보방송통신위원회 국정감사 인사말에서 ""방송미디어의 공공성과 공정성을 지키고, 불법·유해정보로부터 
국민을 보호하는 한편, 표현의 자유와 이용자의 권익을 함께 보장하는 것""이 위원회의 역할이라며 이같이 말했다.  그는 인공지능("&amp;"AI) 기술을 이용한 범죄 관련 정보가 빠르게 확산하고 있다며 상시 모니터링과 신속한 심의, 관계기관 및 국내외 
사업자와의 협력을 통해 불법정보 유통에 대응하고 있다고 설명했다.   특히 불법촬영물과 딥페이크 성범죄 영상물의 피해 확산을 막고 해외 플랫폼을 통한 불법정보의 삭제·차단 실효성을 높이겠다고 말했다.  또 민생을 위협하는 불법정보에 신속히 대응하기 위해 전자심의 관련 심의·조직 체계를 정비하고, 개정 정보통신망법 시행으로 확대된 
분쟁조정제"&amp;"도의 운영체계도 정비하겠다고 밝혔다.  고 위원장은 ""위원회의 심의는 국민의 기본권과 밀접하게 맞닿아 있는 만큼 그 기준과 절차가 명확하고 투명해야 한다""며 숙의와 토론을 
통해 심의의 독립성과 공정성에 대한 국민의 신뢰를 높이겠다고 덧붙였다.  hyunmin623@yna.co.kr 제보는 카카오톡 okjebo &lt;저작권자(c) 연합뉴스, 무단 전재-재배포, AI 학습 및 활용 금지&gt; 2026/10/12 10:59 송고2026년10월12일 10시59분"&amp;" 송고")</f>
        <v>[연합뉴스 자료사진]  (서울=연합뉴스) 유현민 기자 = 고광헌 방송미디어통신심의위원장은 12일 디지털성범죄와 마약·도박·불법금융 등 불법·유해정보에 
신속하고 실효적으로 대응하겠다고 밝혔다.  고 위원장은 이날 국회 과학기술정보방송통신위원회 국정감사 인사말에서 "방송미디어의 공공성과 공정성을 지키고, 불법·유해정보로부터 
국민을 보호하는 한편, 표현의 자유와 이용자의 권익을 함께 보장하는 것"이 위원회의 역할이라며 이같이 말했다.  그는 인공지능(AI) 기술을 이용한 범죄 관련 정보가 빠르게 확산하고 있다며 상시 모니터링과 신속한 심의, 관계기관 및 국내외 
사업자와의 협력을 통해 불법정보 유통에 대응하고 있다고 설명했다.   특히 불법촬영물과 딥페이크 성범죄 영상물의 피해 확산을 막고 해외 플랫폼을 통한 불법정보의 삭제·차단 실효성을 높이겠다고 말했다.  또 민생을 위협하는 불법정보에 신속히 대응하기 위해 전자심의 관련 심의·조직 체계를 정비하고, 개정 정보통신망법 시행으로 확대된 
분쟁조정제도의 운영체계도 정비하겠다고 밝혔다.  고 위원장은 "위원회의 심의는 국민의 기본권과 밀접하게 맞닿아 있는 만큼 그 기준과 절차가 명확하고 투명해야 한다"며 숙의와 토론을 
통해 심의의 독립성과 공정성에 대한 국민의 신뢰를 높이겠다고 덧붙였다.  hyunmin623@yna.co.kr 제보는 카카오톡 okjebo &lt;저작권자(c) 연합뉴스, 무단 전재-재배포, AI 학습 및 활용 금지&gt; 2026/10/12 10:59 송고2026년10월12일 10시59분 송고</v>
      </c>
    </row>
    <row r="23" spans="4:6" x14ac:dyDescent="0.2">
      <c r="D23" s="3" t="str">
        <f ca="1">IFERROR(__xludf.DUMMYFUNCTION("""COMPUTED_VALUE"""),"국가안보실, 北 탄도미사일 발사에 긴급상황점검회의 개최")</f>
        <v>국가안보실, 北 탄도미사일 발사에 긴급상황점검회의 개최</v>
      </c>
      <c r="E23" s="4" t="str">
        <f ca="1">IFERROR(__xludf.DUMMYFUNCTION("""COMPUTED_VALUE"""),"https://www.yna.co.kr/view/AKR20261012069700001?section=politics/all")</f>
        <v>https://www.yna.co.kr/view/AKR20261012069700001?section=politics/all</v>
      </c>
      <c r="F23" s="3" t="str">
        <f ca="1">IFERROR(__xludf.DUMMYFUNCTION("TEXTJOIN("" "", TRUE, IMPORTXML(E23, ""//*[@id='articleWrap']//p""))"),"[촬영 이정훈] 2025.12.8  (서울=연합뉴스) 임형섭 기자 = 국가안보실은 12일 북한이 평양 일대에서 동해상으로 탄도미사일을 발사한 것과 관련, 국방부·합참 등 
관계기관이 참석한 가운데 긴급안보상황점검회의를 개최했다.  안보실은 회의에서 최근 북한의 연이은 탄도미사일 발사와 관련해 한국의 대비 태세 및 안보 상황을 다시 한번 점검하고 안보에 만전을 
기할 것을 강조했다고 강유정 청와대 수석대변인이 서면 브리핑에서 전했다.  아울러 이번 발사가"&amp;" 한국 안보에 미치는 영향을 분석·평가하고 조치가 필요한 사항에 대한 지시도 이뤄졌다고 강 수석대변인은 소개했다.  안보실은 아울러 북한의 반복된 탄도미사일 발사는 유엔 안전보장이사회 결의 위반이자 현 한반도 상황 관리에 도움이 되지 않는 엄중한 
행위로, 이를 즉각 중단할 것을 촉구했다.  앞서 합동참모본부는 북한이 이날 오전 동해상으로 탄도미사일 수발을 발사했다고 밝혔다.  북한의 이번 발사는 한국 정부가 비무장지대(DMZ) 북한군 지뢰 폭발 사건에"&amp;" 대한 대응 성격으로 지난 8일 국산 극초음속 활공 
비행체(HGV) 최초 시험발사 사실을 전격 공개한 지 4일 만에 이뤄졌다.  hysup@yna.co.kr 제보는 카카오톡 okjebo &lt;저작권자(c) 연합뉴스, 무단 전재-재배포, AI 학습 및 활용 금지&gt; 2026/10/12 10:58 송고2026년10월12일 10시58분 송고")</f>
        <v>[촬영 이정훈] 2025.12.8  (서울=연합뉴스) 임형섭 기자 = 국가안보실은 12일 북한이 평양 일대에서 동해상으로 탄도미사일을 발사한 것과 관련, 국방부·합참 등 
관계기관이 참석한 가운데 긴급안보상황점검회의를 개최했다.  안보실은 회의에서 최근 북한의 연이은 탄도미사일 발사와 관련해 한국의 대비 태세 및 안보 상황을 다시 한번 점검하고 안보에 만전을 
기할 것을 강조했다고 강유정 청와대 수석대변인이 서면 브리핑에서 전했다.  아울러 이번 발사가 한국 안보에 미치는 영향을 분석·평가하고 조치가 필요한 사항에 대한 지시도 이뤄졌다고 강 수석대변인은 소개했다.  안보실은 아울러 북한의 반복된 탄도미사일 발사는 유엔 안전보장이사회 결의 위반이자 현 한반도 상황 관리에 도움이 되지 않는 엄중한 
행위로, 이를 즉각 중단할 것을 촉구했다.  앞서 합동참모본부는 북한이 이날 오전 동해상으로 탄도미사일 수발을 발사했다고 밝혔다.  북한의 이번 발사는 한국 정부가 비무장지대(DMZ) 북한군 지뢰 폭발 사건에 대한 대응 성격으로 지난 8일 국산 극초음속 활공 
비행체(HGV) 최초 시험발사 사실을 전격 공개한 지 4일 만에 이뤄졌다.  hysup@yna.co.kr 제보는 카카오톡 okjebo &lt;저작권자(c) 연합뉴스, 무단 전재-재배포, AI 학습 및 활용 금지&gt; 2026/10/12 10:58 송고2026년10월12일 10시58분 송고</v>
      </c>
    </row>
    <row r="24" spans="4:6" x14ac:dyDescent="0.2">
      <c r="D24" s="3" t="str">
        <f ca="1">IFERROR(__xludf.DUMMYFUNCTION("""COMPUTED_VALUE"""),"경북산불 1년반 지났는데 피해 1천898가구 여전히 임시주택 생활")</f>
        <v>경북산불 1년반 지났는데 피해 1천898가구 여전히 임시주택 생활</v>
      </c>
      <c r="E24" s="4" t="str">
        <f ca="1">IFERROR(__xludf.DUMMYFUNCTION("""COMPUTED_VALUE"""),"https://www.yna.co.kr/view/AKR20261012066200053?section=politics/all")</f>
        <v>https://www.yna.co.kr/view/AKR20261012066200053?section=politics/all</v>
      </c>
      <c r="F24" s="3" t="str">
        <f ca="1">IFERROR(__xludf.DUMMYFUNCTION("TEXTJOIN("" "", TRUE, IMPORTXML(E24, ""//*[@id='articleWrap']//p""))"),"(안동=연합뉴스) 윤관식 기자 = 19일 경북 안동시 일직면 귀미1리 산불 이재민 임시주택단지가 폭우로 인한 토사에 뒤덮여있다. 
2026.7.19 psik@yna.co.kr  (안동=연합뉴스) 이승형 기자 = 경북에서 지난해 초대형 산불이 발생한 지 1년 반이 지났으나 피해 주민 1천898가구는 여전히 임시 
조립주택에서 불편한 생활을 하고 있는 것으로 나타났다.  12일 국회 행정안전위원회 더불어민주당 임호선 의원이 경북도로부터 제출받은 '2025년"&amp;" 초대형 산불 피해 복구·지원 현황' 자료에 
따르면 2026년 8월 말 기준 안동, 의성, 청송, 영양, 영덕 등 5개 시군에서 산불 피해를 입은 1천898가구가 임시 조립주택에 
거주하고 있는 것으로 집계됐다.  이 가운데 323가구는 주택을 신축 중이고 521가구는 향후 신축, 매입, 임차 등 주거 이전계획이 있는 것으로 조사됐다.  그러나 전체의 55.5%인 1천54가구는 향후 이전계획이 없는 것으로 분류됐다. 이들 가구의 구체적인 미복구 사유는"&amp;" 명확하게 구분돼 
있지 않지만, 경제적 부담이나 토지 문제 등 주거복구 장애요인일 것으로 임 의원은 추정하고 있다.  산불 피해 복구예산 집행도 분야별로 차이를 보인다.  경북도의 전체 복구계획액은 약 1조8천381억원으로 이 가운데 9천848억원이 집행돼 집행률은 54%다.  사유시설 복구는 4천904억원 중 4천437억원이 집행돼 90%를 기록했지만, 공공시설은 1조3천477억원 중 5천411억원이 집행돼 
40%에 그쳤다.  특히 안동시의 공공시"&amp;"설 복구 집행률은 22%로 5개 시군 중 가장 낮았다.  피해 주민들의 생활 기반을 복구하기 위한 마을 재건사업도 아직 본격적인 추진 단계에 이르지 못한 사업이 적지 않다.  경북도가 추진하는 특별재생·마을단위 복구재생·마을기반조성 등 24개 지구의 총사업비는 약 1천325억원으로 올해 8월 말 기준 해당 
연도 예산 집행률은 15.7%에 머물렀다.  사업 유형별로는 특별재생사업 2개 지구의 집행률이 7.9%, 마을단위 복구재생사업 5개 지구는 12.5"&amp;"%, 마을 기반조성사업 17개 
지구는 24.4%로 나타났다.  산불 특별법에 따른 추가지원 역시 신속한 후속 조치가 필요한 상황이다.  올해 8월 말 기준 피해 주민 5천530명이 모두 4만761건의 추가지원을 신청했으며, 신고된 추정 피해 금액은 약 
1조2천929억원에 이른다. [임호선 의원실 제공]  임 의원은 ""경북도는 중앙정부의 세부 지원기준이 확정되지 않았다는 이유로 재심의 및 최종 인정 건수에 대해 '해당 없음'이라고 
답변했다""며 "&amp;"""추가지원 기준이 확정되는 대로 피해 유형별 심사와 지급이 신속히 진행될 수 있도록 사전 검증과 주민 안내, 지원 사각지대 
관리체계를 강화할 필요가 있다""고 말했다.  또 ""산불 피해 복구 성과는 예산을 얼마나 확보했느냐가 아니라 피해 주민들이 언제 집으로 돌아가고, 무너진 마을공동체가 언제 
정상화되느냐로 평가해야 한다""며 ""임시주택 장기 거주 가구에 대한 맞춤형 주거복구 대책을 마련하고, 마을 재건사업의 착공·준공 일정과 
추가지원 절차를"&amp;" 명확히 관리해 주민들이 하루빨리 일상을 회복할 수 있도록 해야 한다""고 강조했다.  haru@yna.co.kr 제보는 카카오톡 okjebo &lt;저작권자(c) 연합뉴스, 무단 전재-재배포, AI 학습 및 활용 금지&gt; 2026/10/12 10:56 송고2026년10월12일 10시56분 송고")</f>
        <v>(안동=연합뉴스) 윤관식 기자 = 19일 경북 안동시 일직면 귀미1리 산불 이재민 임시주택단지가 폭우로 인한 토사에 뒤덮여있다. 
2026.7.19 psik@yna.co.kr  (안동=연합뉴스) 이승형 기자 = 경북에서 지난해 초대형 산불이 발생한 지 1년 반이 지났으나 피해 주민 1천898가구는 여전히 임시 
조립주택에서 불편한 생활을 하고 있는 것으로 나타났다.  12일 국회 행정안전위원회 더불어민주당 임호선 의원이 경북도로부터 제출받은 '2025년 초대형 산불 피해 복구·지원 현황' 자료에 
따르면 2026년 8월 말 기준 안동, 의성, 청송, 영양, 영덕 등 5개 시군에서 산불 피해를 입은 1천898가구가 임시 조립주택에 
거주하고 있는 것으로 집계됐다.  이 가운데 323가구는 주택을 신축 중이고 521가구는 향후 신축, 매입, 임차 등 주거 이전계획이 있는 것으로 조사됐다.  그러나 전체의 55.5%인 1천54가구는 향후 이전계획이 없는 것으로 분류됐다. 이들 가구의 구체적인 미복구 사유는 명확하게 구분돼 
있지 않지만, 경제적 부담이나 토지 문제 등 주거복구 장애요인일 것으로 임 의원은 추정하고 있다.  산불 피해 복구예산 집행도 분야별로 차이를 보인다.  경북도의 전체 복구계획액은 약 1조8천381억원으로 이 가운데 9천848억원이 집행돼 집행률은 54%다.  사유시설 복구는 4천904억원 중 4천437억원이 집행돼 90%를 기록했지만, 공공시설은 1조3천477억원 중 5천411억원이 집행돼 
40%에 그쳤다.  특히 안동시의 공공시설 복구 집행률은 22%로 5개 시군 중 가장 낮았다.  피해 주민들의 생활 기반을 복구하기 위한 마을 재건사업도 아직 본격적인 추진 단계에 이르지 못한 사업이 적지 않다.  경북도가 추진하는 특별재생·마을단위 복구재생·마을기반조성 등 24개 지구의 총사업비는 약 1천325억원으로 올해 8월 말 기준 해당 
연도 예산 집행률은 15.7%에 머물렀다.  사업 유형별로는 특별재생사업 2개 지구의 집행률이 7.9%, 마을단위 복구재생사업 5개 지구는 12.5%, 마을 기반조성사업 17개 
지구는 24.4%로 나타났다.  산불 특별법에 따른 추가지원 역시 신속한 후속 조치가 필요한 상황이다.  올해 8월 말 기준 피해 주민 5천530명이 모두 4만761건의 추가지원을 신청했으며, 신고된 추정 피해 금액은 약 
1조2천929억원에 이른다. [임호선 의원실 제공]  임 의원은 "경북도는 중앙정부의 세부 지원기준이 확정되지 않았다는 이유로 재심의 및 최종 인정 건수에 대해 '해당 없음'이라고 
답변했다"며 "추가지원 기준이 확정되는 대로 피해 유형별 심사와 지급이 신속히 진행될 수 있도록 사전 검증과 주민 안내, 지원 사각지대 
관리체계를 강화할 필요가 있다"고 말했다.  또 "산불 피해 복구 성과는 예산을 얼마나 확보했느냐가 아니라 피해 주민들이 언제 집으로 돌아가고, 무너진 마을공동체가 언제 
정상화되느냐로 평가해야 한다"며 "임시주택 장기 거주 가구에 대한 맞춤형 주거복구 대책을 마련하고, 마을 재건사업의 착공·준공 일정과 
추가지원 절차를 명확히 관리해 주민들이 하루빨리 일상을 회복할 수 있도록 해야 한다"고 강조했다.  haru@yna.co.kr 제보는 카카오톡 okjebo &lt;저작권자(c) 연합뉴스, 무단 전재-재배포, AI 학습 및 활용 금지&gt; 2026/10/12 10:56 송고2026년10월12일 10시56분 송고</v>
      </c>
    </row>
    <row r="25" spans="4:6" x14ac:dyDescent="0.2">
      <c r="D25" s="3" t="str">
        <f ca="1">IFERROR(__xludf.DUMMYFUNCTION("""COMPUTED_VALUE"""),"한화오션, 정부 핵잠수함 추진 발맞춰 조직 신설·경력직 채용")</f>
        <v>한화오션, 정부 핵잠수함 추진 발맞춰 조직 신설·경력직 채용</v>
      </c>
      <c r="E25" s="4" t="str">
        <f ca="1">IFERROR(__xludf.DUMMYFUNCTION("""COMPUTED_VALUE"""),"https://www.yna.co.kr/view/AKR20261012068900003?section=politics/all")</f>
        <v>https://www.yna.co.kr/view/AKR20261012068900003?section=politics/all</v>
      </c>
      <c r="F25" s="3" t="str">
        <f ca="1">IFERROR(__xludf.DUMMYFUNCTION("TEXTJOIN("" "", TRUE, IMPORTXML(E25, ""//*[@id='articleWrap']//p""))"),"[한화오션 제공. 재판매 및 DB 금지]  (서울=연합뉴스) 홍규빈 기자 = 한화오션이 정부의 핵추진잠수함(핵잠) 개발 사업인 '장보고 N사업'에 발맞춰 조직 신설과 인력 
확보에 나섰다.  한화오션은 핵심 기술 내재화와 사업 기반 확보를 위해 '장보고N개발단'을 신설하고 5년 이상 경력의 전문가들을 채용한다고 12일 
밝혔다.  채용 분야는 원자력·추진체계 연동 설계, 배관 레이아웃·응력해석 엔지니어링, 계측제어(I&amp;C) 연동설계, 원자력 인허가·안전"&amp;"규제, 
원자력 품질 등 5개다.  오는 25일까지 한화오션 채용 홈페이지( https://recruit-hanwhaocean.com/ko/o/239813 )에서 서류를 접수할 계획이다.  한화오션은 장보고N개발단을 중심으로 정부, 해군 등과의 협력 창구를 일원화하고 유기적인 협력 체계를 구축하겠다는 방침이다.  앞서 정부는 2030년대 중반까지 첫 핵잠을 진수하고 2030년대 후반에는 해군에 배치한다는 목표를 제시하면서 '장보고 N사업'이라는 
명칭을"&amp;" 부여했다.  핵잠은 소형 원자로를 동력으로 사용해 기존 디젤잠수함과 비교해 장기간 고속 잠항이 가능하기 때문에 작전 반경이나 수중 작전 지속능력이 
월등하다.   최정훈 한화오션 특수선사업부 장보고N개발단장(상무)은 ""기존 육상·민수 선박용 원자로와 달리 급선회, 급기동, 폭발 충격 완화 등 
완전히 새로운 원자로 환경에 대비해 원자력 전문 인재를 선제적으로 충원함으로써 국가 핵심사업을 성실하게 준비해 나갈 것""이라고 말했다.  bingo@yna."&amp;"co.kr 제보는 카카오톡 okjebo &lt;저작권자(c) 연합뉴스, 무단 전재-재배포, AI 학습 및 활용 금지&gt; 2026/10/12 10:53 송고2026년10월12일 10시53분 송고")</f>
        <v>[한화오션 제공. 재판매 및 DB 금지]  (서울=연합뉴스) 홍규빈 기자 = 한화오션이 정부의 핵추진잠수함(핵잠) 개발 사업인 '장보고 N사업'에 발맞춰 조직 신설과 인력 
확보에 나섰다.  한화오션은 핵심 기술 내재화와 사업 기반 확보를 위해 '장보고N개발단'을 신설하고 5년 이상 경력의 전문가들을 채용한다고 12일 
밝혔다.  채용 분야는 원자력·추진체계 연동 설계, 배관 레이아웃·응력해석 엔지니어링, 계측제어(I&amp;C) 연동설계, 원자력 인허가·안전규제, 
원자력 품질 등 5개다.  오는 25일까지 한화오션 채용 홈페이지( https://recruit-hanwhaocean.com/ko/o/239813 )에서 서류를 접수할 계획이다.  한화오션은 장보고N개발단을 중심으로 정부, 해군 등과의 협력 창구를 일원화하고 유기적인 협력 체계를 구축하겠다는 방침이다.  앞서 정부는 2030년대 중반까지 첫 핵잠을 진수하고 2030년대 후반에는 해군에 배치한다는 목표를 제시하면서 '장보고 N사업'이라는 
명칭을 부여했다.  핵잠은 소형 원자로를 동력으로 사용해 기존 디젤잠수함과 비교해 장기간 고속 잠항이 가능하기 때문에 작전 반경이나 수중 작전 지속능력이 
월등하다.   최정훈 한화오션 특수선사업부 장보고N개발단장(상무)은 "기존 육상·민수 선박용 원자로와 달리 급선회, 급기동, 폭발 충격 완화 등 
완전히 새로운 원자로 환경에 대비해 원자력 전문 인재를 선제적으로 충원함으로써 국가 핵심사업을 성실하게 준비해 나갈 것"이라고 말했다.  bingo@yna.co.kr 제보는 카카오톡 okjebo &lt;저작권자(c) 연합뉴스, 무단 전재-재배포, AI 학습 및 활용 금지&gt; 2026/10/12 10:53 송고2026년10월12일 10시53분 송고</v>
      </c>
    </row>
    <row r="26" spans="4:6" x14ac:dyDescent="0.2">
      <c r="D26" s="3" t="str">
        <f ca="1">IFERROR(__xludf.DUMMYFUNCTION("""COMPUTED_VALUE"""),"北, 韓극초음속 발사성공 4일만에 탄도미사일…900km 이상 비행(종합)")</f>
        <v>北, 韓극초음속 발사성공 4일만에 탄도미사일…900km 이상 비행(종합)</v>
      </c>
      <c r="E26" s="4" t="str">
        <f ca="1">IFERROR(__xludf.DUMMYFUNCTION("""COMPUTED_VALUE"""),"https://www.yna.co.kr/view/AKR20261012041151504?section=politics/all")</f>
        <v>https://www.yna.co.kr/view/AKR20261012041151504?section=politics/all</v>
      </c>
      <c r="F26" s="3" t="str">
        <f ca="1">IFERROR(__xludf.DUMMYFUNCTION("TEXTJOIN("" "", TRUE, IMPORTXML(E26, ""//*[@id='articleWrap']//p""))"),"(평양 조선중앙통신=연합뉴스) 조선중앙통신은 3일 새벽 김정은 국무위원장이 참관한 가운데 북한 동부지역에서 조선동해로 중거리 전략미사일 
발사훈련을 진행했다고 4일 보도했다. 2026.10.4  [국내에서만 사용가능. 재배포 금지. For Use Only in the Republic of Korea. No 
Redistribution] nkphoto@yna.co.kr  (서울=연합뉴스) 김효정 기자 = 북한이 12일 오전 평양 일대에서 동해상으로 탄도미"&amp;"사일 수 발을 발사했다고 합동참모본부가 밝혔다.  장도영 합참 공보실장은 브리핑에서 ""12일 오전 9시 20분께 북한 평양 일대에서 동해상으로 발사된 탄도미사일 수 발을 포착했다""고 
발표했다.  장 실장은 ""포착된 북한의 미사일은 900km 이상을 비행하였으며 정확한 제원에 대해서는 한미가 정밀 분석 중""이라고 밝혔다.  앞서 합참은 이날 북한 탄도미사일 발사 관련 언론 공지를 통해 ""군은 추가 발사에 대비해 감시 및 경계를 강화한 가운데, "&amp;"한미일은 
북한 탄도미사일 관련 정보를 긴밀하게 공유하면서 만반의 대비태세를 유지하고 있다""고 밝혔다.  북한이 평양 일대에서 미사일을 쏜 것은 8월 20일 동해상으로 600mm 초대형 방사포(KN-25)로 추정되는 단거리 탄도미사일 
10여발을 발사한 이후 처음이다. (서울=연합뉴스) 김민지 기자 = minfo@yna.co.kr  X(트위터) @yonhap_graphics 인스타그램 @yonhapgraphics  북한의 탄도미사일 발사는 올해 들어 "&amp;"16번째이자, 지난 3일 이후 9일 만이다.  북한은 지난 3일 원산 일대에서 동해상으로 발사한 탄도미사일은 극초음속 탄두를 탑재한 '중거리 전략미사일'이라고 주장했다.   당시 시험발사를 참관한 김정은 국무위원장은 ""전략적 공격수단들의 신뢰성과 그 치명성을 적수들에게 부단히 그리고 반복적으로 인식시키는 
책임적인 노력을 중단없이 계속해 나가야 한다""고 역설했다.  북한은 이 미사일이 1천㎞를 비행했다며, 사거리를 '700㎞ 이상'으로 발표한 우리 "&amp;"군 당국이 탐지에 실패했다고 주장하기도 했다.   이번 발사는 한국 정부가 비무장지대(DMZ) 북한군 지뢰 폭발 사건에 대한 대응 성격으로 국산 극초음속 활공 비행체(HGV) 최초 
시험발사 사실을 전격 공개한 지 4일 만에 이뤄진 것이기도 하다.  정부는 이재명 대통령이 참관한 가운데 지난 8일 국방과학연구소(ADD) 안흥시험장 해상 바지선에서 우리 기술로 개발 중인 HGV를 
최초 시험발사했다. 이후 사진으로 HGV 발사 모습도 공개했다.  극초음속"&amp;" 미사일은 마하 5 이상 속도로 비행하고, 일반적 포물선 탄도 궤도와 다른 변칙 기동을 해 추적과 요격이 매우 어려워 전장의 
'게임체인저'로 불린다.   이를 두고 정부가 비무장지대(DMZ) 북한군 지뢰 폭발에 대응해 첨단무기 공개로 대북 억제력을 보여줬으며, 극초음속 미사일 개발을 
둘러싼 남북 간 경쟁 구도가 드러났다는 평가가 나왔다.  북한의 이번 발사도 우리 당국이 비행거리를 '900km' 이상으로만 발표했다는 점에서 종말 단계 탐지가 쉽지 않"&amp;"은 극초음속 미사일을 
거듭 발사한 것 아니냐는 분석이 나온다.   극초음속 미사일은 일반적 탄도미사일의 궤적과 달리 하강 국면에서 풀업(하강후 재상승) 기동 후 일정 구간을 활공한다. 지구 곡률에 
따른 레이더 탐지 제한 탓에 한일 군 당국이 예상한 사거리보다 더 길게 비행하는 것이 특징이다.  900km 이상 발사면 중거리급 이상 발사일 가능성도 있다.  장도영 실장은 북한의 이번 발사 의도에 대해 ""현재까지 초기 분석은 우리의 극초음속 미사일 시"&amp;"험발사 성공에 대한 무력시위 등 국방력 
발전 5개년 계획의 로드맵에 따른 성과 과시 및 의도적 미사일 능력 현시로 분석 중""이라고 말했다.  kimhyoj@yna.co.kr 제보는 카카오톡 okjebo &lt;저작권자(c) 연합뉴스, 무단 전재-재배포, AI 학습 및 활용 금지&gt; 2026/10/12 10:53 송고2026년10월12일 10시53분 송고")</f>
        <v>(평양 조선중앙통신=연합뉴스) 조선중앙통신은 3일 새벽 김정은 국무위원장이 참관한 가운데 북한 동부지역에서 조선동해로 중거리 전략미사일 
발사훈련을 진행했다고 4일 보도했다. 2026.10.4  [국내에서만 사용가능. 재배포 금지. For Use Only in the Republic of Korea. No 
Redistribution] nkphoto@yna.co.kr  (서울=연합뉴스) 김효정 기자 = 북한이 12일 오전 평양 일대에서 동해상으로 탄도미사일 수 발을 발사했다고 합동참모본부가 밝혔다.  장도영 합참 공보실장은 브리핑에서 "12일 오전 9시 20분께 북한 평양 일대에서 동해상으로 발사된 탄도미사일 수 발을 포착했다"고 
발표했다.  장 실장은 "포착된 북한의 미사일은 900km 이상을 비행하였으며 정확한 제원에 대해서는 한미가 정밀 분석 중"이라고 밝혔다.  앞서 합참은 이날 북한 탄도미사일 발사 관련 언론 공지를 통해 "군은 추가 발사에 대비해 감시 및 경계를 강화한 가운데, 한미일은 
북한 탄도미사일 관련 정보를 긴밀하게 공유하면서 만반의 대비태세를 유지하고 있다"고 밝혔다.  북한이 평양 일대에서 미사일을 쏜 것은 8월 20일 동해상으로 600mm 초대형 방사포(KN-25)로 추정되는 단거리 탄도미사일 
10여발을 발사한 이후 처음이다. (서울=연합뉴스) 김민지 기자 = minfo@yna.co.kr  X(트위터) @yonhap_graphics 인스타그램 @yonhapgraphics  북한의 탄도미사일 발사는 올해 들어 16번째이자, 지난 3일 이후 9일 만이다.  북한은 지난 3일 원산 일대에서 동해상으로 발사한 탄도미사일은 극초음속 탄두를 탑재한 '중거리 전략미사일'이라고 주장했다.   당시 시험발사를 참관한 김정은 국무위원장은 "전략적 공격수단들의 신뢰성과 그 치명성을 적수들에게 부단히 그리고 반복적으로 인식시키는 
책임적인 노력을 중단없이 계속해 나가야 한다"고 역설했다.  북한은 이 미사일이 1천㎞를 비행했다며, 사거리를 '700㎞ 이상'으로 발표한 우리 군 당국이 탐지에 실패했다고 주장하기도 했다.   이번 발사는 한국 정부가 비무장지대(DMZ) 북한군 지뢰 폭발 사건에 대한 대응 성격으로 국산 극초음속 활공 비행체(HGV) 최초 
시험발사 사실을 전격 공개한 지 4일 만에 이뤄진 것이기도 하다.  정부는 이재명 대통령이 참관한 가운데 지난 8일 국방과학연구소(ADD) 안흥시험장 해상 바지선에서 우리 기술로 개발 중인 HGV를 
최초 시험발사했다. 이후 사진으로 HGV 발사 모습도 공개했다.  극초음속 미사일은 마하 5 이상 속도로 비행하고, 일반적 포물선 탄도 궤도와 다른 변칙 기동을 해 추적과 요격이 매우 어려워 전장의 
'게임체인저'로 불린다.   이를 두고 정부가 비무장지대(DMZ) 북한군 지뢰 폭발에 대응해 첨단무기 공개로 대북 억제력을 보여줬으며, 극초음속 미사일 개발을 
둘러싼 남북 간 경쟁 구도가 드러났다는 평가가 나왔다.  북한의 이번 발사도 우리 당국이 비행거리를 '900km' 이상으로만 발표했다는 점에서 종말 단계 탐지가 쉽지 않은 극초음속 미사일을 
거듭 발사한 것 아니냐는 분석이 나온다.   극초음속 미사일은 일반적 탄도미사일의 궤적과 달리 하강 국면에서 풀업(하강후 재상승) 기동 후 일정 구간을 활공한다. 지구 곡률에 
따른 레이더 탐지 제한 탓에 한일 군 당국이 예상한 사거리보다 더 길게 비행하는 것이 특징이다.  900km 이상 발사면 중거리급 이상 발사일 가능성도 있다.  장도영 실장은 북한의 이번 발사 의도에 대해 "현재까지 초기 분석은 우리의 극초음속 미사일 시험발사 성공에 대한 무력시위 등 국방력 
발전 5개년 계획의 로드맵에 따른 성과 과시 및 의도적 미사일 능력 현시로 분석 중"이라고 말했다.  kimhyoj@yna.co.kr 제보는 카카오톡 okjebo &lt;저작권자(c) 연합뉴스, 무단 전재-재배포, AI 학습 및 활용 금지&gt; 2026/10/12 10:53 송고2026년10월12일 10시53분 송고</v>
      </c>
    </row>
  </sheetData>
  <phoneticPr fontId="4" type="noConversion"/>
  <hyperlinks>
    <hyperlink ref="C2" r:id="rId1"/>
    <hyperlink ref="E3" r:id="rId2" display="https://www.yna.co.kr/view/AKR20261012082900001?section=politics/all"/>
    <hyperlink ref="E4" r:id="rId3" display="https://www.yna.co.kr/view/AKR20261012085100504?section=politics/all"/>
    <hyperlink ref="E5" r:id="rId4" display="https://www.yna.co.kr/view/AKR20261012081000001?section=politics/all"/>
    <hyperlink ref="E6" r:id="rId5" display="https://www.yna.co.kr/view/AKR20261012083100001?section=politics/all"/>
    <hyperlink ref="E7" r:id="rId6" display="https://www.yna.co.kr/view/AKR20261012081600001?section=politics/all"/>
    <hyperlink ref="E8" r:id="rId7" display="https://www.yna.co.kr/view/AKR20261012078251004?section=politics/all"/>
    <hyperlink ref="E9" r:id="rId8" display="https://www.yna.co.kr/view/AKR20261012085600004?section=politics/all"/>
    <hyperlink ref="E10" r:id="rId9" display="https://www.yna.co.kr/view/AKR20261012077900001?section=politics/all"/>
    <hyperlink ref="E11" r:id="rId10" display="https://www.yna.co.kr/view/AKR20261012082600704?section=politics/all"/>
    <hyperlink ref="E12" r:id="rId11" display="https://www.yna.co.kr/view/AKR20261012083300504?section=politics/all"/>
    <hyperlink ref="E13" r:id="rId12" display="https://www.yna.co.kr/view/AKR20261012080500052?section=politics/all"/>
    <hyperlink ref="E14" r:id="rId13" display="https://www.yna.co.kr/view/AKR20261012052000030?section=politics/all"/>
    <hyperlink ref="E15" r:id="rId14" display="https://www.yna.co.kr/view/AKR20261012080400060?section=politics/all"/>
    <hyperlink ref="E16" r:id="rId15" display="https://www.yna.co.kr/view/AKR20261012079000504?section=politics/all"/>
    <hyperlink ref="E17" r:id="rId16" display="https://www.yna.co.kr/view/AKR20261012077700051?section=politics/all"/>
    <hyperlink ref="E18" r:id="rId17" display="https://www.yna.co.kr/view/AKR20261012070900001?section=politics/all"/>
    <hyperlink ref="E19" r:id="rId18" display="https://www.yna.co.kr/view/AKR20261012073000530?section=politics/all"/>
    <hyperlink ref="E20" r:id="rId19" display="https://www.yna.co.kr/view/AKR20261012068500704?section=politics/all"/>
    <hyperlink ref="E21" r:id="rId20" display="https://www.yna.co.kr/view/AKR20261012071600001?section=politics/all"/>
    <hyperlink ref="E22" r:id="rId21" display="https://www.yna.co.kr/view/AKR20261012068400017?section=politics/all"/>
    <hyperlink ref="E23" r:id="rId22" display="https://www.yna.co.kr/view/AKR20261012069700001?section=politics/all"/>
    <hyperlink ref="E24" r:id="rId23" display="https://www.yna.co.kr/view/AKR20261012066200053?section=politics/all"/>
    <hyperlink ref="E25" r:id="rId24" display="https://www.yna.co.kr/view/AKR20261012068900003?section=politics/all"/>
    <hyperlink ref="E26" r:id="rId25" display="https://www.yna.co.kr/view/AKR20261012041151504?section=politics/all"/>
  </hyperlinks>
  <pageMargins left="0.7" right="0.7" top="0.75" bottom="0.75" header="0.3" footer="0.3"/>
  <pageSetup paperSize="9" orientation="portrait" r:id="rId2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시트1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KHG</dc:creator>
  <cp:lastModifiedBy>KHG</cp:lastModifiedBy>
  <dcterms:created xsi:type="dcterms:W3CDTF">2026-10-12T03:04:10Z</dcterms:created>
  <dcterms:modified xsi:type="dcterms:W3CDTF">2026-10-12T03:04:10Z</dcterms:modified>
</cp:coreProperties>
</file>